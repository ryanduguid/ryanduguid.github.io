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-\Documents\Codex\2026-09-10\what-s-the-best-thing-you\outputs\lumbridge-services\"/>
    </mc:Choice>
  </mc:AlternateContent>
  <xr:revisionPtr revIDLastSave="0" documentId="13_ncr:1_{C97B31AA-A2AC-4227-9B2B-58198115E981}" xr6:coauthVersionLast="47" xr6:coauthVersionMax="47" xr10:uidLastSave="{00000000-0000-0000-0000-000000000000}"/>
  <bookViews>
    <workbookView xWindow="3510" yWindow="3510" windowWidth="38700" windowHeight="15345" xr2:uid="{00000000-000D-0000-FFFF-FFFF00000000}"/>
  </bookViews>
  <sheets>
    <sheet name="Model" sheetId="1" r:id="rId1"/>
    <sheet name="Cash 13 weeks" sheetId="2" r:id="rId2"/>
    <sheet name="Assumptions" sheetId="3" r:id="rId3"/>
    <sheet name="Cash dates" sheetId="4" r:id="rId4"/>
    <sheet name="Sources" sheetId="5" r:id="rId5"/>
  </sheets>
  <definedNames>
    <definedName name="_xlnm._FilterDatabase" localSheetId="3" hidden="1">'Cash dates'!$A$1:$G$35</definedName>
    <definedName name="_xlnm.Print_Area" localSheetId="1">'Cash 13 weeks'!$A$1:$G$39</definedName>
    <definedName name="_xlnm.Print_Area" localSheetId="0">Model!$A$1:$D$27</definedName>
    <definedName name="receipt_delay">Assumptions!$B$2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5" i="4" l="1"/>
  <c r="G35" i="4" s="1"/>
  <c r="C34" i="4"/>
  <c r="G34" i="4" s="1"/>
  <c r="C33" i="4"/>
  <c r="C32" i="4"/>
  <c r="C31" i="4"/>
  <c r="C30" i="4"/>
  <c r="C29" i="4"/>
  <c r="C28" i="4"/>
  <c r="C27" i="4"/>
  <c r="C26" i="4"/>
  <c r="C25" i="4"/>
  <c r="C24" i="4"/>
  <c r="C23" i="4"/>
  <c r="C22" i="4"/>
  <c r="C21" i="4"/>
  <c r="C20" i="4"/>
  <c r="C19" i="4"/>
  <c r="C18" i="4"/>
  <c r="C17" i="4"/>
  <c r="C16" i="4"/>
  <c r="C15" i="4"/>
  <c r="C14" i="4"/>
  <c r="C13" i="4"/>
  <c r="C12" i="4"/>
  <c r="C11" i="4"/>
  <c r="C10" i="4"/>
  <c r="C9" i="4"/>
  <c r="C8" i="4"/>
  <c r="C7" i="4"/>
  <c r="C6" i="4"/>
  <c r="C5" i="4"/>
  <c r="C4" i="4"/>
  <c r="C3" i="4"/>
  <c r="C2" i="4"/>
  <c r="B20" i="2"/>
  <c r="G14" i="2"/>
  <c r="G13" i="2"/>
  <c r="G12" i="2"/>
  <c r="G11" i="2"/>
  <c r="G10" i="2"/>
  <c r="G9" i="2"/>
  <c r="G8" i="2"/>
  <c r="G7" i="2"/>
  <c r="G6" i="2"/>
  <c r="G5" i="2"/>
  <c r="G4" i="2"/>
  <c r="G3" i="2"/>
  <c r="G2" i="2"/>
  <c r="B27" i="1"/>
  <c r="D20" i="1"/>
  <c r="C20" i="1"/>
  <c r="B20" i="1"/>
  <c r="D19" i="1"/>
  <c r="C19" i="1"/>
  <c r="B19" i="1"/>
  <c r="D18" i="1"/>
  <c r="C18" i="1"/>
  <c r="B18" i="1"/>
  <c r="D16" i="1"/>
  <c r="C16" i="1"/>
  <c r="B16" i="1"/>
  <c r="D10" i="1"/>
  <c r="C10" i="1"/>
  <c r="B10" i="1"/>
  <c r="D9" i="1"/>
  <c r="C9" i="1"/>
  <c r="B9" i="1"/>
  <c r="D8" i="1"/>
  <c r="C8" i="1"/>
  <c r="B8" i="1"/>
  <c r="D7" i="1"/>
  <c r="C7" i="1"/>
  <c r="B7" i="1"/>
  <c r="D6" i="1"/>
  <c r="C6" i="1"/>
  <c r="B6" i="1"/>
  <c r="D5" i="1"/>
  <c r="C5" i="1"/>
  <c r="B5" i="1"/>
  <c r="D4" i="1"/>
  <c r="C4" i="1"/>
  <c r="B4" i="1"/>
  <c r="D3" i="1"/>
  <c r="C3" i="1"/>
  <c r="B3" i="1"/>
  <c r="D2" i="1"/>
  <c r="C2" i="1"/>
  <c r="C11" i="1" s="1"/>
  <c r="B2" i="1"/>
  <c r="C4" i="2" l="1"/>
  <c r="D6" i="2"/>
  <c r="G14" i="4"/>
  <c r="G12" i="4"/>
  <c r="C7" i="2"/>
  <c r="D4" i="2"/>
  <c r="E4" i="2" s="1"/>
  <c r="C9" i="2"/>
  <c r="D7" i="2"/>
  <c r="C5" i="2"/>
  <c r="D3" i="2"/>
  <c r="C2" i="2"/>
  <c r="D12" i="1"/>
  <c r="D13" i="1"/>
  <c r="C13" i="1"/>
  <c r="B13" i="1"/>
  <c r="C12" i="1"/>
  <c r="B12" i="1"/>
  <c r="C3" i="2"/>
  <c r="G20" i="4"/>
  <c r="G15" i="4"/>
  <c r="G11" i="4"/>
  <c r="G10" i="4"/>
  <c r="G4" i="4"/>
  <c r="G3" i="4"/>
  <c r="D11" i="1"/>
  <c r="C14" i="2"/>
  <c r="C13" i="2"/>
  <c r="C12" i="2"/>
  <c r="D10" i="2"/>
  <c r="C6" i="2"/>
  <c r="D14" i="2"/>
  <c r="D11" i="2"/>
  <c r="D9" i="2"/>
  <c r="D13" i="2"/>
  <c r="C11" i="2"/>
  <c r="D8" i="2"/>
  <c r="D2" i="2"/>
  <c r="B11" i="1"/>
  <c r="B17" i="1"/>
  <c r="C17" i="1" s="1"/>
  <c r="D17" i="1" s="1"/>
  <c r="G33" i="4"/>
  <c r="G32" i="4"/>
  <c r="G29" i="4"/>
  <c r="G27" i="4"/>
  <c r="G31" i="4"/>
  <c r="G30" i="4"/>
  <c r="G28" i="4"/>
  <c r="G26" i="4"/>
  <c r="G25" i="4"/>
  <c r="G24" i="4"/>
  <c r="G23" i="4"/>
  <c r="G22" i="4"/>
  <c r="G21" i="4"/>
  <c r="G19" i="4"/>
  <c r="G18" i="4"/>
  <c r="G17" i="4"/>
  <c r="G16" i="4"/>
  <c r="G13" i="4"/>
  <c r="G9" i="4"/>
  <c r="G8" i="4"/>
  <c r="G7" i="4"/>
  <c r="G6" i="4"/>
  <c r="G5" i="4"/>
  <c r="G2" i="4"/>
  <c r="D12" i="2"/>
  <c r="C10" i="2"/>
  <c r="C8" i="2"/>
  <c r="D5" i="2"/>
  <c r="E11" i="2" l="1"/>
  <c r="E12" i="2"/>
  <c r="E10" i="2"/>
  <c r="E3" i="2"/>
  <c r="E14" i="2"/>
  <c r="E13" i="2"/>
  <c r="E7" i="2"/>
  <c r="E6" i="2"/>
  <c r="E8" i="2"/>
  <c r="E5" i="2"/>
  <c r="B15" i="1"/>
  <c r="B14" i="1"/>
  <c r="C14" i="1" s="1"/>
  <c r="D14" i="1" s="1"/>
  <c r="E9" i="2"/>
  <c r="E2" i="2"/>
  <c r="F2" i="2" s="1"/>
  <c r="B18" i="2"/>
  <c r="F3" i="2" l="1"/>
  <c r="F4" i="2" s="1"/>
  <c r="F5" i="2" s="1"/>
  <c r="C15" i="1"/>
  <c r="B21" i="1"/>
  <c r="B22" i="1" s="1"/>
  <c r="C21" i="1" l="1"/>
  <c r="C22" i="1" s="1"/>
  <c r="D15" i="1"/>
  <c r="D21" i="1" s="1"/>
  <c r="D22" i="1" s="1"/>
  <c r="F6" i="2"/>
  <c r="F7" i="2" l="1"/>
  <c r="F8" i="2" s="1"/>
  <c r="F9" i="2" s="1"/>
  <c r="F10" i="2" l="1"/>
  <c r="F11" i="2" l="1"/>
  <c r="F12" i="2" s="1"/>
  <c r="F13" i="2" s="1"/>
  <c r="F14" i="2" s="1"/>
  <c r="B17" i="2"/>
</calcChain>
</file>

<file path=xl/sharedStrings.xml><?xml version="1.0" encoding="utf-8"?>
<sst xmlns="http://schemas.openxmlformats.org/spreadsheetml/2006/main" count="165" uniqueCount="114">
  <si>
    <t>Lumbridge Services: monthly forecast (AUD)</t>
  </si>
  <si>
    <t>Revenue</t>
  </si>
  <si>
    <t>Materials</t>
  </si>
  <si>
    <t>Overhead</t>
  </si>
  <si>
    <t>Gross wages</t>
  </si>
  <si>
    <t>Super</t>
  </si>
  <si>
    <t>Workers compensation</t>
  </si>
  <si>
    <t>Leave provision</t>
  </si>
  <si>
    <t>Depreciation</t>
  </si>
  <si>
    <t>Interest</t>
  </si>
  <si>
    <t>Profit before tax</t>
  </si>
  <si>
    <t>Customer receipts</t>
  </si>
  <si>
    <t>Cash payments</t>
  </si>
  <si>
    <t>Closing cash</t>
  </si>
  <si>
    <t>Receivables</t>
  </si>
  <si>
    <t>Supplier payables</t>
  </si>
  <si>
    <t>GST payable</t>
  </si>
  <si>
    <t>PAYG withholding payable</t>
  </si>
  <si>
    <t>Loan principal paid</t>
  </si>
  <si>
    <t>Income tax instalment</t>
  </si>
  <si>
    <t>Cash from profit bridge</t>
  </si>
  <si>
    <t>Cash reconciliation difference</t>
  </si>
  <si>
    <t>Profit is before income tax. PAYG instalments reduce cash, not pre-tax profit.</t>
  </si>
  <si>
    <t>GST, supplier and withholding balances remain payable after the forecast.</t>
  </si>
  <si>
    <t>Select the receipt delay on Assumptions. No actual forecast accuracy has been measured.</t>
  </si>
  <si>
    <t>Receipt delay (calendar days)</t>
  </si>
  <si>
    <t>Week start</t>
  </si>
  <si>
    <t>Week end</t>
  </si>
  <si>
    <t>Receipts AUD</t>
  </si>
  <si>
    <t>Payments AUD</t>
  </si>
  <si>
    <t>Net cash AUD</t>
  </si>
  <si>
    <t>Closing cash AUD</t>
  </si>
  <si>
    <t>Buffer AUD</t>
  </si>
  <si>
    <t>Minimum week-end cash</t>
  </si>
  <si>
    <t>Minimum cash on a transaction date</t>
  </si>
  <si>
    <t>Week-end balances can hide a shortfall earlier in the week.</t>
  </si>
  <si>
    <t>Lumbridge Services: synthetic Newcastle business</t>
  </si>
  <si>
    <t>Value</t>
  </si>
  <si>
    <t>Delay OPEN-V receipt (calendar days)</t>
  </si>
  <si>
    <t>Cash buffer (AUD)</t>
  </si>
  <si>
    <t>Change B2 to 45 to test a late Grand Exchange collection.</t>
  </si>
  <si>
    <t>Only B2 is an interactive scenario control. Rebuild after changing source data.</t>
  </si>
  <si>
    <t>All amounts are AUD. No game currency or live Xero connection.</t>
  </si>
  <si>
    <t>Dates move by calendar days; no holiday or receipt-compliance guarantee.</t>
  </si>
  <si>
    <t>Record</t>
  </si>
  <si>
    <t>Base date</t>
  </si>
  <si>
    <t>Scenario date</t>
  </si>
  <si>
    <t>Category</t>
  </si>
  <si>
    <t>Closing cash on date</t>
  </si>
  <si>
    <t>PAY-01</t>
  </si>
  <si>
    <t>OPEN-V</t>
  </si>
  <si>
    <t>Customer receipt</t>
  </si>
  <si>
    <t>PAY-02</t>
  </si>
  <si>
    <t>Loan principal</t>
  </si>
  <si>
    <t>PAY-03</t>
  </si>
  <si>
    <t>PAY-05</t>
  </si>
  <si>
    <t>PAY-04</t>
  </si>
  <si>
    <t>OPEN-F</t>
  </si>
  <si>
    <t>PAY-06</t>
  </si>
  <si>
    <t>PAYG withholding</t>
  </si>
  <si>
    <t>PAY-25</t>
  </si>
  <si>
    <t>GST settlement</t>
  </si>
  <si>
    <t>PAY-08</t>
  </si>
  <si>
    <t>PAY-07</t>
  </si>
  <si>
    <t>Net wages</t>
  </si>
  <si>
    <t>PAY-26</t>
  </si>
  <si>
    <t>PAY-09</t>
  </si>
  <si>
    <t>OCT-V</t>
  </si>
  <si>
    <t>PAY-10</t>
  </si>
  <si>
    <t>PAY-11</t>
  </si>
  <si>
    <t>PAY-14</t>
  </si>
  <si>
    <t>OCT-F</t>
  </si>
  <si>
    <t>PAY-12</t>
  </si>
  <si>
    <t>PAY-13</t>
  </si>
  <si>
    <t>PAY-16</t>
  </si>
  <si>
    <t>PAY-15</t>
  </si>
  <si>
    <t>PAY-17</t>
  </si>
  <si>
    <t>NOV-V</t>
  </si>
  <si>
    <t>PAY-18</t>
  </si>
  <si>
    <t>PAY-19</t>
  </si>
  <si>
    <t>PAY-20</t>
  </si>
  <si>
    <t>PAY-21</t>
  </si>
  <si>
    <t>NOV-F</t>
  </si>
  <si>
    <t>PAY-22</t>
  </si>
  <si>
    <t>PAY-23</t>
  </si>
  <si>
    <t>PAY-24</t>
  </si>
  <si>
    <t>DEC-V</t>
  </si>
  <si>
    <t>DEC-F</t>
  </si>
  <si>
    <t>Synthetic source record</t>
  </si>
  <si>
    <t>Source / period</t>
  </si>
  <si>
    <t>Sales - Varrock maintenance</t>
  </si>
  <si>
    <t>data/xero_pl.csv | September 2026</t>
  </si>
  <si>
    <t>Sales - Falador repairs</t>
  </si>
  <si>
    <t>Operating overhead</t>
  </si>
  <si>
    <t>Wages and Salaries</t>
  </si>
  <si>
    <t>Superannuation</t>
  </si>
  <si>
    <t>Workers Compensation</t>
  </si>
  <si>
    <t>Leave provision expense</t>
  </si>
  <si>
    <t>Interest expense</t>
  </si>
  <si>
    <t>Business Bank Account</t>
  </si>
  <si>
    <t>data/xero_bs.csv | September 2026</t>
  </si>
  <si>
    <t>Accounts Receivable</t>
  </si>
  <si>
    <t>Equipment net book value</t>
  </si>
  <si>
    <t>Accounts Payable</t>
  </si>
  <si>
    <t>GST</t>
  </si>
  <si>
    <t>PAYG Withholdings Payable</t>
  </si>
  <si>
    <t>Business Loan</t>
  </si>
  <si>
    <t>Equity</t>
  </si>
  <si>
    <t>GST rate</t>
  </si>
  <si>
    <t>data/assumptions.json; see README source notes</t>
  </si>
  <si>
    <t>Loan principal per month</t>
  </si>
  <si>
    <t>data/assumptions.json</t>
  </si>
  <si>
    <t>Income tax instalment in October</t>
  </si>
  <si>
    <t>Synthetic supplied instalment, not a tax calculation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</si>
</sst>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%"/>
    <numFmt numFmtId="166" formatCode="dd\-mmm\-yy"/>
    <numFmt numFmtId="167" formatCode="#,##0.00;[Red]\(#,##0.00\);&quot;-&quot;"/>
    <numFmt numFmtId="168" formatCode="0.00;\(0.00\);0.00"/>
  </numFmts>
  <fonts count="7" x14ac:knownFonts="1">
    <font>
      <sz val="11"/>
      <color theme="1"/>
      <name val="Calibri"/>
      <family val="2"/>
      <scheme val="minor"/>
    </font>
    <font>
      <b/>
      <sz val="11"/>
      <color rgb="FF0000FF"/>
      <name val="Calibri"/>
    </font>
    <font>
      <b/>
      <sz val="11"/>
      <color rgb="FFFFFFFF"/>
      <name val="Calibri"/>
    </font>
    <font>
      <sz val="11"/>
      <color rgb="FF20352D"/>
      <name val="Calibri"/>
    </font>
    <font>
      <sz val="11"/>
      <color rgb="FF000000"/>
      <name val="Calibri"/>
    </font>
    <font>
      <sz val="11"/>
      <color rgb="FF008000"/>
      <name val="Calibri"/>
    </font>
    <font>
      <b/>
      <sz val="11"/>
      <color rgb="FF20352D"/>
      <name val="Calibri"/>
    </font>
  </fonts>
  <fills count="5">
    <fill>
      <patternFill patternType="none"/>
    </fill>
    <fill>
      <patternFill patternType="gray125"/>
    </fill>
    <fill>
      <patternFill patternType="solid">
        <fgColor rgb="FFFFF0C2"/>
      </patternFill>
    </fill>
    <fill>
      <patternFill patternType="solid">
        <fgColor rgb="FF253E35"/>
      </patternFill>
    </fill>
    <fill>
      <patternFill patternType="solid">
        <fgColor rgb="FFE8EEE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2" fillId="3" borderId="0" xfId="0" applyFont="1" applyFill="1" applyAlignment="1">
      <alignment vertical="center" wrapText="1"/>
    </xf>
    <xf numFmtId="17" fontId="2" fillId="3" borderId="0" xfId="0" applyNumberFormat="1" applyFont="1" applyFill="1" applyAlignment="1">
      <alignment vertical="center" wrapText="1"/>
    </xf>
    <xf numFmtId="0" fontId="3" fillId="0" borderId="0" xfId="0" applyFont="1"/>
    <xf numFmtId="167" fontId="3" fillId="0" borderId="0" xfId="0" applyNumberFormat="1" applyFont="1"/>
    <xf numFmtId="0" fontId="6" fillId="4" borderId="0" xfId="0" applyFont="1" applyFill="1"/>
    <xf numFmtId="167" fontId="6" fillId="4" borderId="0" xfId="0" applyNumberFormat="1" applyFont="1" applyFill="1"/>
    <xf numFmtId="168" fontId="6" fillId="4" borderId="0" xfId="0" applyNumberFormat="1" applyFont="1" applyFill="1"/>
    <xf numFmtId="0" fontId="3" fillId="0" borderId="0" xfId="0" applyFont="1" applyAlignment="1">
      <alignment wrapText="1"/>
    </xf>
    <xf numFmtId="1" fontId="3" fillId="0" borderId="0" xfId="0" applyNumberFormat="1" applyFont="1"/>
    <xf numFmtId="166" fontId="3" fillId="0" borderId="0" xfId="0" applyNumberFormat="1" applyFont="1"/>
    <xf numFmtId="0" fontId="4" fillId="0" borderId="0" xfId="0" applyFont="1"/>
    <xf numFmtId="1" fontId="1" fillId="2" borderId="0" xfId="0" applyNumberFormat="1" applyFont="1" applyFill="1"/>
    <xf numFmtId="167" fontId="4" fillId="0" borderId="0" xfId="0" applyNumberFormat="1" applyFont="1"/>
    <xf numFmtId="166" fontId="4" fillId="0" borderId="0" xfId="0" applyNumberFormat="1" applyFont="1"/>
    <xf numFmtId="167" fontId="5" fillId="0" borderId="0" xfId="0" applyNumberFormat="1" applyFont="1"/>
    <xf numFmtId="164" fontId="4" fillId="0" borderId="0" xfId="0" applyNumberFormat="1" applyFont="1"/>
    <xf numFmtId="0" fontId="3" fillId="0" borderId="0" xfId="0" applyFont="1" applyAlignment="1">
      <alignment wrapText="1"/>
    </xf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AU"/>
              <a:t>Bank balance and cash buffer (AUD)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'Cash 13 weeks'!$F$1</c:f>
              <c:strCache>
                <c:ptCount val="1"/>
                <c:pt idx="0">
                  <c:v>Closing cash AUD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'Cash 13 weeks'!$B$2:$B$14</c:f>
              <c:numCache>
                <c:formatCode>dd\-mmm\-yy</c:formatCode>
                <c:ptCount val="13"/>
                <c:pt idx="0">
                  <c:v>46303</c:v>
                </c:pt>
                <c:pt idx="1">
                  <c:v>46310</c:v>
                </c:pt>
                <c:pt idx="2">
                  <c:v>46317</c:v>
                </c:pt>
                <c:pt idx="3">
                  <c:v>46324</c:v>
                </c:pt>
                <c:pt idx="4">
                  <c:v>46331</c:v>
                </c:pt>
                <c:pt idx="5">
                  <c:v>46338</c:v>
                </c:pt>
                <c:pt idx="6">
                  <c:v>46345</c:v>
                </c:pt>
                <c:pt idx="7">
                  <c:v>46352</c:v>
                </c:pt>
                <c:pt idx="8">
                  <c:v>46359</c:v>
                </c:pt>
                <c:pt idx="9">
                  <c:v>46366</c:v>
                </c:pt>
                <c:pt idx="10">
                  <c:v>46373</c:v>
                </c:pt>
                <c:pt idx="11">
                  <c:v>46380</c:v>
                </c:pt>
                <c:pt idx="12">
                  <c:v>46387</c:v>
                </c:pt>
              </c:numCache>
            </c:numRef>
          </c:cat>
          <c:val>
            <c:numRef>
              <c:f>'Cash 13 weeks'!$F$2:$F$14</c:f>
              <c:numCache>
                <c:formatCode>#,##0.00;[Red]\(#,##0.00\);"-"</c:formatCode>
                <c:ptCount val="13"/>
                <c:pt idx="0">
                  <c:v>16800</c:v>
                </c:pt>
                <c:pt idx="1">
                  <c:v>59600</c:v>
                </c:pt>
                <c:pt idx="2">
                  <c:v>69520</c:v>
                </c:pt>
                <c:pt idx="3">
                  <c:v>32040</c:v>
                </c:pt>
                <c:pt idx="4">
                  <c:v>32040</c:v>
                </c:pt>
                <c:pt idx="5">
                  <c:v>18840</c:v>
                </c:pt>
                <c:pt idx="6">
                  <c:v>61640</c:v>
                </c:pt>
                <c:pt idx="7">
                  <c:v>71560</c:v>
                </c:pt>
                <c:pt idx="8">
                  <c:v>49680</c:v>
                </c:pt>
                <c:pt idx="9">
                  <c:v>36480</c:v>
                </c:pt>
                <c:pt idx="10">
                  <c:v>79280</c:v>
                </c:pt>
                <c:pt idx="11">
                  <c:v>67320</c:v>
                </c:pt>
                <c:pt idx="12">
                  <c:v>67320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E52-43E8-9B96-9D16CC7E16D8}"/>
            </c:ext>
          </c:extLst>
        </c:ser>
        <c:ser>
          <c:idx val="1"/>
          <c:order val="1"/>
          <c:tx>
            <c:strRef>
              <c:f>'Cash 13 weeks'!$G$1</c:f>
              <c:strCache>
                <c:ptCount val="1"/>
                <c:pt idx="0">
                  <c:v>Buffer AUD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'Cash 13 weeks'!$B$2:$B$14</c:f>
              <c:numCache>
                <c:formatCode>dd\-mmm\-yy</c:formatCode>
                <c:ptCount val="13"/>
                <c:pt idx="0">
                  <c:v>46303</c:v>
                </c:pt>
                <c:pt idx="1">
                  <c:v>46310</c:v>
                </c:pt>
                <c:pt idx="2">
                  <c:v>46317</c:v>
                </c:pt>
                <c:pt idx="3">
                  <c:v>46324</c:v>
                </c:pt>
                <c:pt idx="4">
                  <c:v>46331</c:v>
                </c:pt>
                <c:pt idx="5">
                  <c:v>46338</c:v>
                </c:pt>
                <c:pt idx="6">
                  <c:v>46345</c:v>
                </c:pt>
                <c:pt idx="7">
                  <c:v>46352</c:v>
                </c:pt>
                <c:pt idx="8">
                  <c:v>46359</c:v>
                </c:pt>
                <c:pt idx="9">
                  <c:v>46366</c:v>
                </c:pt>
                <c:pt idx="10">
                  <c:v>46373</c:v>
                </c:pt>
                <c:pt idx="11">
                  <c:v>46380</c:v>
                </c:pt>
                <c:pt idx="12">
                  <c:v>46387</c:v>
                </c:pt>
              </c:numCache>
            </c:numRef>
          </c:cat>
          <c:val>
            <c:numRef>
              <c:f>'Cash 13 weeks'!$G$2:$G$14</c:f>
              <c:numCache>
                <c:formatCode>#,##0.00;[Red]\(#,##0.00\);"-"</c:formatCode>
                <c:ptCount val="13"/>
                <c:pt idx="0">
                  <c:v>15000</c:v>
                </c:pt>
                <c:pt idx="1">
                  <c:v>15000</c:v>
                </c:pt>
                <c:pt idx="2">
                  <c:v>15000</c:v>
                </c:pt>
                <c:pt idx="3">
                  <c:v>15000</c:v>
                </c:pt>
                <c:pt idx="4">
                  <c:v>15000</c:v>
                </c:pt>
                <c:pt idx="5">
                  <c:v>15000</c:v>
                </c:pt>
                <c:pt idx="6">
                  <c:v>15000</c:v>
                </c:pt>
                <c:pt idx="7">
                  <c:v>15000</c:v>
                </c:pt>
                <c:pt idx="8">
                  <c:v>15000</c:v>
                </c:pt>
                <c:pt idx="9">
                  <c:v>15000</c:v>
                </c:pt>
                <c:pt idx="10">
                  <c:v>15000</c:v>
                </c:pt>
                <c:pt idx="11">
                  <c:v>15000</c:v>
                </c:pt>
                <c:pt idx="12">
                  <c:v>15000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E52-43E8-9B96-9D16CC7E16D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dateAx>
        <c:axId val="10"/>
        <c:scaling>
          <c:orientation val="minMax"/>
        </c:scaling>
        <c:delete val="0"/>
        <c:axPos val="b"/>
        <c:numFmt formatCode="dd\-mmm" sourceLinked="0"/>
        <c:majorTickMark val="none"/>
        <c:minorTickMark val="none"/>
        <c:tickLblPos val="low"/>
        <c:crossAx val="100"/>
        <c:crosses val="autoZero"/>
        <c:auto val="1"/>
        <c:lblOffset val="100"/>
        <c:baseTimeUnit val="days"/>
        <c:majorUnit val="14"/>
        <c:majorTimeUnit val="days"/>
      </c:dateAx>
      <c:valAx>
        <c:axId val="100"/>
        <c:scaling>
          <c:orientation val="minMax"/>
        </c:scaling>
        <c:delete val="0"/>
        <c:axPos val="l"/>
        <c:majorGridlines/>
        <c:numFmt formatCode="#,##0;\(#,##0\)" sourceLinked="0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21</xdr:row>
      <xdr:rowOff>0</xdr:rowOff>
    </xdr:from>
    <xdr:ext cx="8280000" cy="324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D27"/>
  <sheetViews>
    <sheetView showGridLines="0" tabSelected="1" zoomScale="90" zoomScaleNormal="90" workbookViewId="0">
      <pane xSplit="1" ySplit="1" topLeftCell="B2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1" width="43" customWidth="1"/>
    <col min="2" max="4" width="20" customWidth="1"/>
  </cols>
  <sheetData>
    <row r="1" spans="1:4" ht="33.950000000000003" customHeight="1" x14ac:dyDescent="0.25">
      <c r="A1" s="1" t="s">
        <v>0</v>
      </c>
      <c r="B1" s="2">
        <v>46296</v>
      </c>
      <c r="C1" s="2">
        <v>46327</v>
      </c>
      <c r="D1" s="2">
        <v>46357</v>
      </c>
    </row>
    <row r="2" spans="1:4" ht="21" customHeight="1" x14ac:dyDescent="0.25">
      <c r="A2" s="3" t="s">
        <v>1</v>
      </c>
      <c r="B2" s="4">
        <f>Sources!$B$2+Sources!$B$3</f>
        <v>60000</v>
      </c>
      <c r="C2" s="4">
        <f>Sources!$B$2+Sources!$B$3</f>
        <v>60000</v>
      </c>
      <c r="D2" s="4">
        <f>Sources!$B$2+Sources!$B$3</f>
        <v>60000</v>
      </c>
    </row>
    <row r="3" spans="1:4" ht="21" customHeight="1" x14ac:dyDescent="0.25">
      <c r="A3" s="3" t="s">
        <v>2</v>
      </c>
      <c r="B3" s="4">
        <f>-Sources!$B$4</f>
        <v>12000</v>
      </c>
      <c r="C3" s="4">
        <f>-Sources!$B$4</f>
        <v>12000</v>
      </c>
      <c r="D3" s="4">
        <f>-Sources!$B$4</f>
        <v>12000</v>
      </c>
    </row>
    <row r="4" spans="1:4" ht="21" customHeight="1" x14ac:dyDescent="0.25">
      <c r="A4" s="3" t="s">
        <v>3</v>
      </c>
      <c r="B4" s="4">
        <f>-Sources!$B$5</f>
        <v>6000</v>
      </c>
      <c r="C4" s="4">
        <f>-Sources!$B$5</f>
        <v>6000</v>
      </c>
      <c r="D4" s="4">
        <f>-Sources!$B$5</f>
        <v>6000</v>
      </c>
    </row>
    <row r="5" spans="1:4" ht="21" customHeight="1" x14ac:dyDescent="0.25">
      <c r="A5" s="3" t="s">
        <v>4</v>
      </c>
      <c r="B5" s="4">
        <f>-Sources!$B$6</f>
        <v>24000</v>
      </c>
      <c r="C5" s="4">
        <f>-Sources!$B$6</f>
        <v>24000</v>
      </c>
      <c r="D5" s="4">
        <f>-Sources!$B$6</f>
        <v>24000</v>
      </c>
    </row>
    <row r="6" spans="1:4" ht="21" customHeight="1" x14ac:dyDescent="0.25">
      <c r="A6" s="3" t="s">
        <v>5</v>
      </c>
      <c r="B6" s="4">
        <f>-Sources!$B$7</f>
        <v>2880</v>
      </c>
      <c r="C6" s="4">
        <f>-Sources!$B$7</f>
        <v>2880</v>
      </c>
      <c r="D6" s="4">
        <f>-Sources!$B$7</f>
        <v>2880</v>
      </c>
    </row>
    <row r="7" spans="1:4" ht="21" customHeight="1" x14ac:dyDescent="0.25">
      <c r="A7" s="3" t="s">
        <v>6</v>
      </c>
      <c r="B7" s="4">
        <f>-Sources!$B$8</f>
        <v>480</v>
      </c>
      <c r="C7" s="4">
        <f>-Sources!$B$8</f>
        <v>480</v>
      </c>
      <c r="D7" s="4">
        <f>-Sources!$B$8</f>
        <v>480</v>
      </c>
    </row>
    <row r="8" spans="1:4" ht="21" customHeight="1" x14ac:dyDescent="0.25">
      <c r="A8" s="3" t="s">
        <v>7</v>
      </c>
      <c r="B8" s="4">
        <f>-Sources!$B$9</f>
        <v>2254.15</v>
      </c>
      <c r="C8" s="4">
        <f>-Sources!$B$9</f>
        <v>2254.15</v>
      </c>
      <c r="D8" s="4">
        <f>-Sources!$B$9</f>
        <v>2254.15</v>
      </c>
    </row>
    <row r="9" spans="1:4" ht="21" customHeight="1" x14ac:dyDescent="0.25">
      <c r="A9" s="3" t="s">
        <v>8</v>
      </c>
      <c r="B9" s="4">
        <f>-Sources!$B$10</f>
        <v>200</v>
      </c>
      <c r="C9" s="4">
        <f>-Sources!$B$10</f>
        <v>200</v>
      </c>
      <c r="D9" s="4">
        <f>-Sources!$B$10</f>
        <v>200</v>
      </c>
    </row>
    <row r="10" spans="1:4" ht="21" customHeight="1" x14ac:dyDescent="0.25">
      <c r="A10" s="3" t="s">
        <v>9</v>
      </c>
      <c r="B10" s="4">
        <f>-Sources!$B$11</f>
        <v>200</v>
      </c>
      <c r="C10" s="4">
        <f>-Sources!$B$11</f>
        <v>200</v>
      </c>
      <c r="D10" s="4">
        <f>-Sources!$B$11</f>
        <v>200</v>
      </c>
    </row>
    <row r="11" spans="1:4" ht="21" customHeight="1" x14ac:dyDescent="0.25">
      <c r="A11" s="5" t="s">
        <v>10</v>
      </c>
      <c r="B11" s="6">
        <f>B2-SUM(B3:B10)</f>
        <v>11985.849999999999</v>
      </c>
      <c r="C11" s="6">
        <f>C2-SUM(C3:C10)</f>
        <v>11985.849999999999</v>
      </c>
      <c r="D11" s="6">
        <f>D2-SUM(D3:D10)</f>
        <v>11985.849999999999</v>
      </c>
    </row>
    <row r="12" spans="1:4" ht="21" customHeight="1" x14ac:dyDescent="0.25">
      <c r="A12" s="3" t="s">
        <v>11</v>
      </c>
      <c r="B12" s="4">
        <f>SUMIFS('Cash dates'!$D$2:$D$35,'Cash dates'!$C$2:$C$35,"&gt;="&amp;DATE(2026,10,1),'Cash dates'!$C$2:$C$35,"&lt;="&amp;DATE(2026,10,31))</f>
        <v>66000</v>
      </c>
      <c r="C12" s="4">
        <f>SUMIFS('Cash dates'!$D$2:$D$35,'Cash dates'!$C$2:$C$35,"&gt;="&amp;DATE(2026,11,1),'Cash dates'!$C$2:$C$35,"&lt;="&amp;DATE(2026,11,30))</f>
        <v>66000</v>
      </c>
      <c r="D12" s="4">
        <f>SUMIFS('Cash dates'!$D$2:$D$35,'Cash dates'!$C$2:$C$35,"&gt;="&amp;DATE(2026,12,1),'Cash dates'!$C$2:$C$35,"&lt;="&amp;DATE(2026,12,31))</f>
        <v>66000</v>
      </c>
    </row>
    <row r="13" spans="1:4" ht="21" customHeight="1" x14ac:dyDescent="0.25">
      <c r="A13" s="3" t="s">
        <v>12</v>
      </c>
      <c r="B13" s="4">
        <f>SUMIFS('Cash dates'!$E$2:$E$35,'Cash dates'!$C$2:$C$35,"&gt;="&amp;DATE(2026,10,1),'Cash dates'!$C$2:$C$35,"&lt;="&amp;DATE(2026,10,31))</f>
        <v>63960</v>
      </c>
      <c r="C13" s="4">
        <f>SUMIFS('Cash dates'!$E$2:$E$35,'Cash dates'!$C$2:$C$35,"&gt;="&amp;DATE(2026,11,1),'Cash dates'!$C$2:$C$35,"&lt;="&amp;DATE(2026,11,30))</f>
        <v>48360</v>
      </c>
      <c r="D13" s="4">
        <f>SUMIFS('Cash dates'!$E$2:$E$35,'Cash dates'!$C$2:$C$35,"&gt;="&amp;DATE(2026,12,1),'Cash dates'!$C$2:$C$35,"&lt;="&amp;DATE(2026,12,31))</f>
        <v>48360</v>
      </c>
    </row>
    <row r="14" spans="1:4" ht="21" customHeight="1" x14ac:dyDescent="0.25">
      <c r="A14" s="5" t="s">
        <v>13</v>
      </c>
      <c r="B14" s="6">
        <f>Sources!$B$12+B12-B13</f>
        <v>32040</v>
      </c>
      <c r="C14" s="6">
        <f>B14+C12-C13</f>
        <v>49680</v>
      </c>
      <c r="D14" s="6">
        <f>C14+D12-D13</f>
        <v>67320</v>
      </c>
    </row>
    <row r="15" spans="1:4" ht="21" customHeight="1" x14ac:dyDescent="0.25">
      <c r="A15" s="3" t="s">
        <v>14</v>
      </c>
      <c r="B15" s="4">
        <f>Sources!$B$13+B2*(1+Sources!$B$20)-B12</f>
        <v>66000</v>
      </c>
      <c r="C15" s="4">
        <f>B15+C2*(1+Sources!$B$20)-C12</f>
        <v>66000</v>
      </c>
      <c r="D15" s="4">
        <f>C15+D2*(1+Sources!$B$20)-D12</f>
        <v>66000</v>
      </c>
    </row>
    <row r="16" spans="1:4" ht="21" customHeight="1" x14ac:dyDescent="0.25">
      <c r="A16" s="3" t="s">
        <v>15</v>
      </c>
      <c r="B16" s="4">
        <f>-Sources!$B$15</f>
        <v>13200</v>
      </c>
      <c r="C16" s="4">
        <f>-Sources!$B$15</f>
        <v>13200</v>
      </c>
      <c r="D16" s="4">
        <f>-Sources!$B$15</f>
        <v>13200</v>
      </c>
    </row>
    <row r="17" spans="1:4" ht="21" customHeight="1" x14ac:dyDescent="0.25">
      <c r="A17" s="3" t="s">
        <v>16</v>
      </c>
      <c r="B17" s="4">
        <f>-Sources!$B$16+(B2-B3-B4)*Sources!$B$20-SUMIFS('Cash dates'!$E$2:$E$35,'Cash dates'!$F$2:$F$35,"GST settlement",'Cash dates'!$C$2:$C$35,"&gt;="&amp;DATE(2026,10,1),'Cash dates'!$C$2:$C$35,"&lt;="&amp;DATE(2026,10,31))</f>
        <v>4200</v>
      </c>
      <c r="C17" s="4">
        <f>B17+(C2-C3-C4)*Sources!$B$20-SUMIFS('Cash dates'!$E$2:$E$35,'Cash dates'!$F$2:$F$35,"GST settlement",'Cash dates'!$C$2:$C$35,"&gt;="&amp;DATE(2026,11,1),'Cash dates'!$C$2:$C$35,"&lt;="&amp;DATE(2026,11,30))</f>
        <v>8400</v>
      </c>
      <c r="D17" s="4">
        <f>C17+(D2-D3-D4)*Sources!$B$20-SUMIFS('Cash dates'!$E$2:$E$35,'Cash dates'!$F$2:$F$35,"GST settlement",'Cash dates'!$C$2:$C$35,"&gt;="&amp;DATE(2026,12,1),'Cash dates'!$C$2:$C$35,"&lt;="&amp;DATE(2026,12,31))</f>
        <v>12600</v>
      </c>
    </row>
    <row r="18" spans="1:4" ht="21" customHeight="1" x14ac:dyDescent="0.25">
      <c r="A18" s="3" t="s">
        <v>17</v>
      </c>
      <c r="B18" s="4">
        <f>-Sources!$B$17</f>
        <v>5000</v>
      </c>
      <c r="C18" s="4">
        <f>-Sources!$B$17</f>
        <v>5000</v>
      </c>
      <c r="D18" s="4">
        <f>-Sources!$B$17</f>
        <v>5000</v>
      </c>
    </row>
    <row r="19" spans="1:4" ht="21" customHeight="1" x14ac:dyDescent="0.25">
      <c r="A19" s="3" t="s">
        <v>18</v>
      </c>
      <c r="B19" s="4">
        <f>Sources!$B$21</f>
        <v>1000</v>
      </c>
      <c r="C19" s="4">
        <f>Sources!$B$21</f>
        <v>1000</v>
      </c>
      <c r="D19" s="4">
        <f>Sources!$B$21</f>
        <v>1000</v>
      </c>
    </row>
    <row r="20" spans="1:4" ht="21" customHeight="1" x14ac:dyDescent="0.25">
      <c r="A20" s="3" t="s">
        <v>19</v>
      </c>
      <c r="B20" s="4">
        <f>Sources!$B$22</f>
        <v>3000</v>
      </c>
      <c r="C20" s="4">
        <f>0</f>
        <v>0</v>
      </c>
      <c r="D20" s="4">
        <f>0</f>
        <v>0</v>
      </c>
    </row>
    <row r="21" spans="1:4" ht="21" customHeight="1" x14ac:dyDescent="0.25">
      <c r="A21" s="3" t="s">
        <v>20</v>
      </c>
      <c r="B21" s="4">
        <f>B11+B9+B8-(B15-Sources!$B$13)+(B17--Sources!$B$16)-B19-B20</f>
        <v>2039.9999999999982</v>
      </c>
      <c r="C21" s="4">
        <f>C11+C9+C8-(C15-B15)+(C17-B17)-C19-C20</f>
        <v>17640</v>
      </c>
      <c r="D21" s="4">
        <f>D11+D9+D8-(D15-C15)+(D17-C17)-D19-D20</f>
        <v>17640</v>
      </c>
    </row>
    <row r="22" spans="1:4" ht="21" customHeight="1" x14ac:dyDescent="0.25">
      <c r="A22" s="5" t="s">
        <v>21</v>
      </c>
      <c r="B22" s="7">
        <f>B21-B12+B13</f>
        <v>0</v>
      </c>
      <c r="C22" s="7">
        <f>C21-C12+C13</f>
        <v>0</v>
      </c>
      <c r="D22" s="7">
        <f>D21-D12+D13</f>
        <v>0</v>
      </c>
    </row>
    <row r="23" spans="1:4" ht="21" customHeight="1" x14ac:dyDescent="0.25">
      <c r="A23" s="3"/>
      <c r="B23" s="3"/>
      <c r="C23" s="3"/>
      <c r="D23" s="3"/>
    </row>
    <row r="24" spans="1:4" ht="30" customHeight="1" x14ac:dyDescent="0.25">
      <c r="A24" s="17" t="s">
        <v>22</v>
      </c>
      <c r="B24" s="18"/>
      <c r="C24" s="18"/>
      <c r="D24" s="18"/>
    </row>
    <row r="25" spans="1:4" ht="30" customHeight="1" x14ac:dyDescent="0.25">
      <c r="A25" s="17" t="s">
        <v>23</v>
      </c>
      <c r="B25" s="18"/>
      <c r="C25" s="18"/>
      <c r="D25" s="18"/>
    </row>
    <row r="26" spans="1:4" ht="30" customHeight="1" x14ac:dyDescent="0.25">
      <c r="A26" s="17" t="s">
        <v>24</v>
      </c>
      <c r="B26" s="18"/>
      <c r="C26" s="18"/>
      <c r="D26" s="18"/>
    </row>
    <row r="27" spans="1:4" ht="21" customHeight="1" x14ac:dyDescent="0.25">
      <c r="A27" s="3" t="s">
        <v>25</v>
      </c>
      <c r="B27" s="9">
        <f>receipt_delay</f>
        <v>0</v>
      </c>
      <c r="C27" s="3"/>
      <c r="D27" s="3"/>
    </row>
  </sheetData>
  <mergeCells count="3">
    <mergeCell ref="A26:D26"/>
    <mergeCell ref="A25:D25"/>
    <mergeCell ref="A24:D24"/>
  </mergeCells>
  <pageMargins left="0.75" right="0.75" top="1" bottom="1" header="0.5" footer="0.5"/>
  <pageSetup paperSize="9"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G20"/>
  <sheetViews>
    <sheetView showGridLines="0" zoomScale="90" zoomScaleNormal="90" workbookViewId="0">
      <pane xSplit="1" ySplit="1" topLeftCell="B2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1" width="30" customWidth="1"/>
    <col min="2" max="7" width="20" customWidth="1"/>
  </cols>
  <sheetData>
    <row r="1" spans="1:7" ht="33.950000000000003" customHeight="1" x14ac:dyDescent="0.25">
      <c r="A1" s="1" t="s">
        <v>26</v>
      </c>
      <c r="B1" s="1" t="s">
        <v>27</v>
      </c>
      <c r="C1" s="1" t="s">
        <v>28</v>
      </c>
      <c r="D1" s="1" t="s">
        <v>29</v>
      </c>
      <c r="E1" s="1" t="s">
        <v>30</v>
      </c>
      <c r="F1" s="1" t="s">
        <v>31</v>
      </c>
      <c r="G1" s="1" t="s">
        <v>32</v>
      </c>
    </row>
    <row r="2" spans="1:7" ht="21" customHeight="1" x14ac:dyDescent="0.25">
      <c r="A2" s="10">
        <v>46297</v>
      </c>
      <c r="B2" s="10">
        <v>46303</v>
      </c>
      <c r="C2" s="4">
        <f>SUMIFS('Cash dates'!$D$2:$D$35,'Cash dates'!$C$2:$C$35,"&gt;="&amp;A2,'Cash dates'!$C$2:$C$35,"&lt;="&amp;B2)</f>
        <v>0</v>
      </c>
      <c r="D2" s="4">
        <f>SUMIFS('Cash dates'!$E$2:$E$35,'Cash dates'!$C$2:$C$35,"&gt;="&amp;A2,'Cash dates'!$C$2:$C$35,"&lt;="&amp;B2)</f>
        <v>13200</v>
      </c>
      <c r="E2" s="4">
        <f t="shared" ref="E2:E14" si="0">C2-D2</f>
        <v>-13200</v>
      </c>
      <c r="F2" s="4">
        <f>Sources!$B$12+E2</f>
        <v>16800</v>
      </c>
      <c r="G2" s="4">
        <f>Assumptions!$B$3</f>
        <v>15000</v>
      </c>
    </row>
    <row r="3" spans="1:7" ht="21" customHeight="1" x14ac:dyDescent="0.25">
      <c r="A3" s="10">
        <v>46304</v>
      </c>
      <c r="B3" s="10">
        <v>46310</v>
      </c>
      <c r="C3" s="4">
        <f>SUMIFS('Cash dates'!$D$2:$D$35,'Cash dates'!$C$2:$C$35,"&gt;="&amp;A3,'Cash dates'!$C$2:$C$35,"&lt;="&amp;B3)</f>
        <v>44000</v>
      </c>
      <c r="D3" s="4">
        <f>SUMIFS('Cash dates'!$E$2:$E$35,'Cash dates'!$C$2:$C$35,"&gt;="&amp;A3,'Cash dates'!$C$2:$C$35,"&lt;="&amp;B3)</f>
        <v>1200</v>
      </c>
      <c r="E3" s="4">
        <f t="shared" si="0"/>
        <v>42800</v>
      </c>
      <c r="F3" s="4">
        <f t="shared" ref="F3:F14" si="1">F2+E3</f>
        <v>59600</v>
      </c>
      <c r="G3" s="4">
        <f>Assumptions!$B$3</f>
        <v>15000</v>
      </c>
    </row>
    <row r="4" spans="1:7" ht="21" customHeight="1" x14ac:dyDescent="0.25">
      <c r="A4" s="10">
        <v>46311</v>
      </c>
      <c r="B4" s="10">
        <v>46317</v>
      </c>
      <c r="C4" s="4">
        <f>SUMIFS('Cash dates'!$D$2:$D$35,'Cash dates'!$C$2:$C$35,"&gt;="&amp;A4,'Cash dates'!$C$2:$C$35,"&lt;="&amp;B4)</f>
        <v>22000</v>
      </c>
      <c r="D4" s="4">
        <f>SUMIFS('Cash dates'!$E$2:$E$35,'Cash dates'!$C$2:$C$35,"&gt;="&amp;A4,'Cash dates'!$C$2:$C$35,"&lt;="&amp;B4)</f>
        <v>12080</v>
      </c>
      <c r="E4" s="4">
        <f t="shared" si="0"/>
        <v>9920</v>
      </c>
      <c r="F4" s="4">
        <f t="shared" si="1"/>
        <v>69520</v>
      </c>
      <c r="G4" s="4">
        <f>Assumptions!$B$3</f>
        <v>15000</v>
      </c>
    </row>
    <row r="5" spans="1:7" ht="21" customHeight="1" x14ac:dyDescent="0.25">
      <c r="A5" s="10">
        <v>46318</v>
      </c>
      <c r="B5" s="10">
        <v>46324</v>
      </c>
      <c r="C5" s="4">
        <f>SUMIFS('Cash dates'!$D$2:$D$35,'Cash dates'!$C$2:$C$35,"&gt;="&amp;A5,'Cash dates'!$C$2:$C$35,"&lt;="&amp;B5)</f>
        <v>0</v>
      </c>
      <c r="D5" s="4">
        <f>SUMIFS('Cash dates'!$E$2:$E$35,'Cash dates'!$C$2:$C$35,"&gt;="&amp;A5,'Cash dates'!$C$2:$C$35,"&lt;="&amp;B5)</f>
        <v>37480</v>
      </c>
      <c r="E5" s="4">
        <f t="shared" si="0"/>
        <v>-37480</v>
      </c>
      <c r="F5" s="4">
        <f t="shared" si="1"/>
        <v>32040</v>
      </c>
      <c r="G5" s="4">
        <f>Assumptions!$B$3</f>
        <v>15000</v>
      </c>
    </row>
    <row r="6" spans="1:7" ht="21" customHeight="1" x14ac:dyDescent="0.25">
      <c r="A6" s="10">
        <v>46325</v>
      </c>
      <c r="B6" s="10">
        <v>46331</v>
      </c>
      <c r="C6" s="4">
        <f>SUMIFS('Cash dates'!$D$2:$D$35,'Cash dates'!$C$2:$C$35,"&gt;="&amp;A6,'Cash dates'!$C$2:$C$35,"&lt;="&amp;B6)</f>
        <v>0</v>
      </c>
      <c r="D6" s="4">
        <f>SUMIFS('Cash dates'!$E$2:$E$35,'Cash dates'!$C$2:$C$35,"&gt;="&amp;A6,'Cash dates'!$C$2:$C$35,"&lt;="&amp;B6)</f>
        <v>0</v>
      </c>
      <c r="E6" s="4">
        <f t="shared" si="0"/>
        <v>0</v>
      </c>
      <c r="F6" s="4">
        <f t="shared" si="1"/>
        <v>32040</v>
      </c>
      <c r="G6" s="4">
        <f>Assumptions!$B$3</f>
        <v>15000</v>
      </c>
    </row>
    <row r="7" spans="1:7" ht="21" customHeight="1" x14ac:dyDescent="0.25">
      <c r="A7" s="10">
        <v>46332</v>
      </c>
      <c r="B7" s="10">
        <v>46338</v>
      </c>
      <c r="C7" s="4">
        <f>SUMIFS('Cash dates'!$D$2:$D$35,'Cash dates'!$C$2:$C$35,"&gt;="&amp;A7,'Cash dates'!$C$2:$C$35,"&lt;="&amp;B7)</f>
        <v>0</v>
      </c>
      <c r="D7" s="4">
        <f>SUMIFS('Cash dates'!$E$2:$E$35,'Cash dates'!$C$2:$C$35,"&gt;="&amp;A7,'Cash dates'!$C$2:$C$35,"&lt;="&amp;B7)</f>
        <v>13200</v>
      </c>
      <c r="E7" s="4">
        <f t="shared" si="0"/>
        <v>-13200</v>
      </c>
      <c r="F7" s="4">
        <f t="shared" si="1"/>
        <v>18840</v>
      </c>
      <c r="G7" s="4">
        <f>Assumptions!$B$3</f>
        <v>15000</v>
      </c>
    </row>
    <row r="8" spans="1:7" ht="21" customHeight="1" x14ac:dyDescent="0.25">
      <c r="A8" s="10">
        <v>46339</v>
      </c>
      <c r="B8" s="10">
        <v>46345</v>
      </c>
      <c r="C8" s="4">
        <f>SUMIFS('Cash dates'!$D$2:$D$35,'Cash dates'!$C$2:$C$35,"&gt;="&amp;A8,'Cash dates'!$C$2:$C$35,"&lt;="&amp;B8)</f>
        <v>44000</v>
      </c>
      <c r="D8" s="4">
        <f>SUMIFS('Cash dates'!$E$2:$E$35,'Cash dates'!$C$2:$C$35,"&gt;="&amp;A8,'Cash dates'!$C$2:$C$35,"&lt;="&amp;B8)</f>
        <v>1200</v>
      </c>
      <c r="E8" s="4">
        <f t="shared" si="0"/>
        <v>42800</v>
      </c>
      <c r="F8" s="4">
        <f t="shared" si="1"/>
        <v>61640</v>
      </c>
      <c r="G8" s="4">
        <f>Assumptions!$B$3</f>
        <v>15000</v>
      </c>
    </row>
    <row r="9" spans="1:7" ht="21" customHeight="1" x14ac:dyDescent="0.25">
      <c r="A9" s="10">
        <v>46346</v>
      </c>
      <c r="B9" s="10">
        <v>46352</v>
      </c>
      <c r="C9" s="4">
        <f>SUMIFS('Cash dates'!$D$2:$D$35,'Cash dates'!$C$2:$C$35,"&gt;="&amp;A9,'Cash dates'!$C$2:$C$35,"&lt;="&amp;B9)</f>
        <v>22000</v>
      </c>
      <c r="D9" s="4">
        <f>SUMIFS('Cash dates'!$E$2:$E$35,'Cash dates'!$C$2:$C$35,"&gt;="&amp;A9,'Cash dates'!$C$2:$C$35,"&lt;="&amp;B9)</f>
        <v>12080</v>
      </c>
      <c r="E9" s="4">
        <f t="shared" si="0"/>
        <v>9920</v>
      </c>
      <c r="F9" s="4">
        <f t="shared" si="1"/>
        <v>71560</v>
      </c>
      <c r="G9" s="4">
        <f>Assumptions!$B$3</f>
        <v>15000</v>
      </c>
    </row>
    <row r="10" spans="1:7" ht="21" customHeight="1" x14ac:dyDescent="0.25">
      <c r="A10" s="10">
        <v>46353</v>
      </c>
      <c r="B10" s="10">
        <v>46359</v>
      </c>
      <c r="C10" s="4">
        <f>SUMIFS('Cash dates'!$D$2:$D$35,'Cash dates'!$C$2:$C$35,"&gt;="&amp;A10,'Cash dates'!$C$2:$C$35,"&lt;="&amp;B10)</f>
        <v>0</v>
      </c>
      <c r="D10" s="4">
        <f>SUMIFS('Cash dates'!$E$2:$E$35,'Cash dates'!$C$2:$C$35,"&gt;="&amp;A10,'Cash dates'!$C$2:$C$35,"&lt;="&amp;B10)</f>
        <v>21880</v>
      </c>
      <c r="E10" s="4">
        <f t="shared" si="0"/>
        <v>-21880</v>
      </c>
      <c r="F10" s="4">
        <f t="shared" si="1"/>
        <v>49680</v>
      </c>
      <c r="G10" s="4">
        <f>Assumptions!$B$3</f>
        <v>15000</v>
      </c>
    </row>
    <row r="11" spans="1:7" ht="21" customHeight="1" x14ac:dyDescent="0.25">
      <c r="A11" s="10">
        <v>46360</v>
      </c>
      <c r="B11" s="10">
        <v>46366</v>
      </c>
      <c r="C11" s="4">
        <f>SUMIFS('Cash dates'!$D$2:$D$35,'Cash dates'!$C$2:$C$35,"&gt;="&amp;A11,'Cash dates'!$C$2:$C$35,"&lt;="&amp;B11)</f>
        <v>0</v>
      </c>
      <c r="D11" s="4">
        <f>SUMIFS('Cash dates'!$E$2:$E$35,'Cash dates'!$C$2:$C$35,"&gt;="&amp;A11,'Cash dates'!$C$2:$C$35,"&lt;="&amp;B11)</f>
        <v>13200</v>
      </c>
      <c r="E11" s="4">
        <f t="shared" si="0"/>
        <v>-13200</v>
      </c>
      <c r="F11" s="4">
        <f t="shared" si="1"/>
        <v>36480</v>
      </c>
      <c r="G11" s="4">
        <f>Assumptions!$B$3</f>
        <v>15000</v>
      </c>
    </row>
    <row r="12" spans="1:7" ht="21" customHeight="1" x14ac:dyDescent="0.25">
      <c r="A12" s="10">
        <v>46367</v>
      </c>
      <c r="B12" s="10">
        <v>46373</v>
      </c>
      <c r="C12" s="4">
        <f>SUMIFS('Cash dates'!$D$2:$D$35,'Cash dates'!$C$2:$C$35,"&gt;="&amp;A12,'Cash dates'!$C$2:$C$35,"&lt;="&amp;B12)</f>
        <v>44000</v>
      </c>
      <c r="D12" s="4">
        <f>SUMIFS('Cash dates'!$E$2:$E$35,'Cash dates'!$C$2:$C$35,"&gt;="&amp;A12,'Cash dates'!$C$2:$C$35,"&lt;="&amp;B12)</f>
        <v>1200</v>
      </c>
      <c r="E12" s="4">
        <f t="shared" si="0"/>
        <v>42800</v>
      </c>
      <c r="F12" s="4">
        <f t="shared" si="1"/>
        <v>79280</v>
      </c>
      <c r="G12" s="4">
        <f>Assumptions!$B$3</f>
        <v>15000</v>
      </c>
    </row>
    <row r="13" spans="1:7" ht="21" customHeight="1" x14ac:dyDescent="0.25">
      <c r="A13" s="10">
        <v>46374</v>
      </c>
      <c r="B13" s="10">
        <v>46380</v>
      </c>
      <c r="C13" s="4">
        <f>SUMIFS('Cash dates'!$D$2:$D$35,'Cash dates'!$C$2:$C$35,"&gt;="&amp;A13,'Cash dates'!$C$2:$C$35,"&lt;="&amp;B13)</f>
        <v>22000</v>
      </c>
      <c r="D13" s="4">
        <f>SUMIFS('Cash dates'!$E$2:$E$35,'Cash dates'!$C$2:$C$35,"&gt;="&amp;A13,'Cash dates'!$C$2:$C$35,"&lt;="&amp;B13)</f>
        <v>33960</v>
      </c>
      <c r="E13" s="4">
        <f t="shared" si="0"/>
        <v>-11960</v>
      </c>
      <c r="F13" s="4">
        <f t="shared" si="1"/>
        <v>67320</v>
      </c>
      <c r="G13" s="4">
        <f>Assumptions!$B$3</f>
        <v>15000</v>
      </c>
    </row>
    <row r="14" spans="1:7" ht="21" customHeight="1" x14ac:dyDescent="0.25">
      <c r="A14" s="10">
        <v>46381</v>
      </c>
      <c r="B14" s="10">
        <v>46387</v>
      </c>
      <c r="C14" s="4">
        <f>SUMIFS('Cash dates'!$D$2:$D$35,'Cash dates'!$C$2:$C$35,"&gt;="&amp;A14,'Cash dates'!$C$2:$C$35,"&lt;="&amp;B14)</f>
        <v>0</v>
      </c>
      <c r="D14" s="4">
        <f>SUMIFS('Cash dates'!$E$2:$E$35,'Cash dates'!$C$2:$C$35,"&gt;="&amp;A14,'Cash dates'!$C$2:$C$35,"&lt;="&amp;B14)</f>
        <v>0</v>
      </c>
      <c r="E14" s="4">
        <f t="shared" si="0"/>
        <v>0</v>
      </c>
      <c r="F14" s="4">
        <f t="shared" si="1"/>
        <v>67320</v>
      </c>
      <c r="G14" s="4">
        <f>Assumptions!$B$3</f>
        <v>15000</v>
      </c>
    </row>
    <row r="15" spans="1:7" ht="21" customHeight="1" x14ac:dyDescent="0.25">
      <c r="A15" s="3"/>
      <c r="B15" s="3"/>
      <c r="C15" s="3"/>
      <c r="D15" s="3"/>
      <c r="E15" s="3"/>
      <c r="F15" s="3"/>
      <c r="G15" s="3"/>
    </row>
    <row r="16" spans="1:7" ht="21" customHeight="1" x14ac:dyDescent="0.25">
      <c r="A16" s="3"/>
      <c r="B16" s="3"/>
      <c r="C16" s="3"/>
      <c r="D16" s="3"/>
      <c r="E16" s="3"/>
      <c r="F16" s="3"/>
      <c r="G16" s="3"/>
    </row>
    <row r="17" spans="1:7" ht="33.950000000000003" customHeight="1" x14ac:dyDescent="0.25">
      <c r="A17" s="8" t="s">
        <v>33</v>
      </c>
      <c r="B17" s="4">
        <f>MIN(F2:F14)</f>
        <v>16800</v>
      </c>
      <c r="C17" s="3"/>
      <c r="D17" s="3"/>
      <c r="E17" s="3"/>
      <c r="F17" s="3"/>
      <c r="G17" s="3"/>
    </row>
    <row r="18" spans="1:7" ht="33.950000000000003" customHeight="1" x14ac:dyDescent="0.25">
      <c r="A18" s="8" t="s">
        <v>34</v>
      </c>
      <c r="B18" s="4">
        <f>MIN(Sources!$B$12,'Cash dates'!G2:G35)</f>
        <v>16800</v>
      </c>
      <c r="C18" s="3"/>
      <c r="D18" s="3"/>
      <c r="E18" s="3"/>
      <c r="F18" s="3"/>
      <c r="G18" s="3"/>
    </row>
    <row r="19" spans="1:7" ht="33.950000000000003" customHeight="1" x14ac:dyDescent="0.25">
      <c r="A19" s="17" t="s">
        <v>35</v>
      </c>
      <c r="B19" s="18"/>
      <c r="C19" s="18"/>
      <c r="D19" s="18"/>
      <c r="E19" s="18"/>
      <c r="F19" s="18"/>
      <c r="G19" s="18"/>
    </row>
    <row r="20" spans="1:7" ht="21" customHeight="1" x14ac:dyDescent="0.25">
      <c r="A20" s="3" t="s">
        <v>25</v>
      </c>
      <c r="B20" s="9">
        <f>receipt_delay</f>
        <v>0</v>
      </c>
      <c r="C20" s="3"/>
      <c r="D20" s="3"/>
      <c r="E20" s="3"/>
      <c r="F20" s="3"/>
      <c r="G20" s="3"/>
    </row>
  </sheetData>
  <mergeCells count="1">
    <mergeCell ref="A19:G19"/>
  </mergeCells>
  <pageMargins left="0.75" right="0.75" top="1" bottom="1" header="0.5" footer="0.5"/>
  <pageSetup paperSize="9"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B7"/>
  <sheetViews>
    <sheetView showGridLines="0" zoomScale="90" zoomScaleNormal="90" workbookViewId="0">
      <pane xSplit="1" ySplit="1" topLeftCell="B2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1" width="91" customWidth="1"/>
    <col min="2" max="2" width="20" customWidth="1"/>
  </cols>
  <sheetData>
    <row r="1" spans="1:2" ht="33.950000000000003" customHeight="1" x14ac:dyDescent="0.25">
      <c r="A1" s="1" t="s">
        <v>36</v>
      </c>
      <c r="B1" s="1" t="s">
        <v>37</v>
      </c>
    </row>
    <row r="2" spans="1:2" ht="21" customHeight="1" x14ac:dyDescent="0.25">
      <c r="A2" s="11" t="s">
        <v>38</v>
      </c>
      <c r="B2" s="12">
        <v>0</v>
      </c>
    </row>
    <row r="3" spans="1:2" ht="21" customHeight="1" x14ac:dyDescent="0.25">
      <c r="A3" s="11" t="s">
        <v>39</v>
      </c>
      <c r="B3" s="13">
        <v>15000</v>
      </c>
    </row>
    <row r="4" spans="1:2" ht="21" customHeight="1" x14ac:dyDescent="0.25">
      <c r="A4" s="11" t="s">
        <v>40</v>
      </c>
      <c r="B4" s="11"/>
    </row>
    <row r="5" spans="1:2" ht="21" customHeight="1" x14ac:dyDescent="0.25">
      <c r="A5" s="11" t="s">
        <v>41</v>
      </c>
      <c r="B5" s="11"/>
    </row>
    <row r="6" spans="1:2" ht="21" customHeight="1" x14ac:dyDescent="0.25">
      <c r="A6" s="11" t="s">
        <v>42</v>
      </c>
      <c r="B6" s="11"/>
    </row>
    <row r="7" spans="1:2" ht="21" customHeight="1" x14ac:dyDescent="0.25">
      <c r="A7" s="11" t="s">
        <v>43</v>
      </c>
      <c r="B7" s="11"/>
    </row>
  </sheetData>
  <dataValidations count="1">
    <dataValidation type="whole" showErrorMessage="1" errorTitle="Invalid delay" error="Enter a whole number from 0 to 120." sqref="B2" xr:uid="{00000000-0002-0000-0200-000000000000}">
      <formula1>0</formula1>
      <formula2>120</formula2>
    </dataValidation>
  </dataValidations>
  <pageMargins left="0.75" right="0.75" top="1" bottom="1" header="0.5" footer="0.5"/>
  <pageSetup paperSize="9"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G35"/>
  <sheetViews>
    <sheetView showGridLines="0" zoomScale="90" zoomScaleNormal="90" workbookViewId="0">
      <pane xSplit="1" ySplit="1" topLeftCell="B2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5" width="20" customWidth="1"/>
    <col min="6" max="6" width="23" customWidth="1"/>
    <col min="7" max="7" width="20" customWidth="1"/>
  </cols>
  <sheetData>
    <row r="1" spans="1:7" ht="33.950000000000003" customHeight="1" x14ac:dyDescent="0.25">
      <c r="A1" s="1" t="s">
        <v>44</v>
      </c>
      <c r="B1" s="1" t="s">
        <v>45</v>
      </c>
      <c r="C1" s="1" t="s">
        <v>46</v>
      </c>
      <c r="D1" s="1" t="s">
        <v>28</v>
      </c>
      <c r="E1" s="1" t="s">
        <v>29</v>
      </c>
      <c r="F1" s="1" t="s">
        <v>47</v>
      </c>
      <c r="G1" s="1" t="s">
        <v>48</v>
      </c>
    </row>
    <row r="2" spans="1:7" ht="21" customHeight="1" x14ac:dyDescent="0.25">
      <c r="A2" s="11" t="s">
        <v>49</v>
      </c>
      <c r="B2" s="14">
        <v>46302</v>
      </c>
      <c r="C2" s="14">
        <f t="shared" ref="C2:C35" si="0">B2+IF(A2="OPEN-V",receipt_delay,0)</f>
        <v>46302</v>
      </c>
      <c r="D2" s="13">
        <v>0</v>
      </c>
      <c r="E2" s="13">
        <v>13200</v>
      </c>
      <c r="F2" s="11" t="s">
        <v>2</v>
      </c>
      <c r="G2" s="15">
        <f>IF(C2&gt;DATE(2026,12,31),"",Sources!$B$12+SUMIFS('Cash dates'!$D$2:$D$35,'Cash dates'!$C$2:$C$35,"&lt;="&amp;C2)-SUMIFS('Cash dates'!$E$2:$E$35,'Cash dates'!$C$2:$C$35,"&lt;="&amp;C2))</f>
        <v>16800</v>
      </c>
    </row>
    <row r="3" spans="1:7" ht="21" customHeight="1" x14ac:dyDescent="0.25">
      <c r="A3" s="11" t="s">
        <v>50</v>
      </c>
      <c r="B3" s="14">
        <v>46309</v>
      </c>
      <c r="C3" s="14">
        <f t="shared" si="0"/>
        <v>46309</v>
      </c>
      <c r="D3" s="13">
        <v>44000</v>
      </c>
      <c r="E3" s="13">
        <v>0</v>
      </c>
      <c r="F3" s="11" t="s">
        <v>51</v>
      </c>
      <c r="G3" s="15">
        <f>IF(C3&gt;DATE(2026,12,31),"",Sources!$B$12+SUMIFS('Cash dates'!$D$2:$D$35,'Cash dates'!$C$2:$C$35,"&lt;="&amp;C3)-SUMIFS('Cash dates'!$E$2:$E$35,'Cash dates'!$C$2:$C$35,"&lt;="&amp;C3))</f>
        <v>60800</v>
      </c>
    </row>
    <row r="4" spans="1:7" ht="21" customHeight="1" x14ac:dyDescent="0.25">
      <c r="A4" s="11" t="s">
        <v>52</v>
      </c>
      <c r="B4" s="14">
        <v>46310</v>
      </c>
      <c r="C4" s="14">
        <f t="shared" si="0"/>
        <v>46310</v>
      </c>
      <c r="D4" s="13">
        <v>0</v>
      </c>
      <c r="E4" s="13">
        <v>1000</v>
      </c>
      <c r="F4" s="11" t="s">
        <v>53</v>
      </c>
      <c r="G4" s="15">
        <f>IF(C4&gt;DATE(2026,12,31),"",Sources!$B$12+SUMIFS('Cash dates'!$D$2:$D$35,'Cash dates'!$C$2:$C$35,"&lt;="&amp;C4)-SUMIFS('Cash dates'!$E$2:$E$35,'Cash dates'!$C$2:$C$35,"&lt;="&amp;C4))</f>
        <v>59600</v>
      </c>
    </row>
    <row r="5" spans="1:7" ht="21" customHeight="1" x14ac:dyDescent="0.25">
      <c r="A5" s="11" t="s">
        <v>54</v>
      </c>
      <c r="B5" s="14">
        <v>46310</v>
      </c>
      <c r="C5" s="14">
        <f t="shared" si="0"/>
        <v>46310</v>
      </c>
      <c r="D5" s="13">
        <v>0</v>
      </c>
      <c r="E5" s="13">
        <v>200</v>
      </c>
      <c r="F5" s="11" t="s">
        <v>9</v>
      </c>
      <c r="G5" s="15">
        <f>IF(C5&gt;DATE(2026,12,31),"",Sources!$B$12+SUMIFS('Cash dates'!$D$2:$D$35,'Cash dates'!$C$2:$C$35,"&lt;="&amp;C5)-SUMIFS('Cash dates'!$E$2:$E$35,'Cash dates'!$C$2:$C$35,"&lt;="&amp;C5))</f>
        <v>59600</v>
      </c>
    </row>
    <row r="6" spans="1:7" ht="21" customHeight="1" x14ac:dyDescent="0.25">
      <c r="A6" s="11" t="s">
        <v>55</v>
      </c>
      <c r="B6" s="14">
        <v>46315</v>
      </c>
      <c r="C6" s="14">
        <f t="shared" si="0"/>
        <v>46315</v>
      </c>
      <c r="D6" s="13">
        <v>0</v>
      </c>
      <c r="E6" s="13">
        <v>480</v>
      </c>
      <c r="F6" s="11" t="s">
        <v>6</v>
      </c>
      <c r="G6" s="15">
        <f>IF(C6&gt;DATE(2026,12,31),"",Sources!$B$12+SUMIFS('Cash dates'!$D$2:$D$35,'Cash dates'!$C$2:$C$35,"&lt;="&amp;C6)-SUMIFS('Cash dates'!$E$2:$E$35,'Cash dates'!$C$2:$C$35,"&lt;="&amp;C6))</f>
        <v>52520</v>
      </c>
    </row>
    <row r="7" spans="1:7" ht="21" customHeight="1" x14ac:dyDescent="0.25">
      <c r="A7" s="11" t="s">
        <v>56</v>
      </c>
      <c r="B7" s="14">
        <v>46315</v>
      </c>
      <c r="C7" s="14">
        <f t="shared" si="0"/>
        <v>46315</v>
      </c>
      <c r="D7" s="13">
        <v>0</v>
      </c>
      <c r="E7" s="13">
        <v>6600</v>
      </c>
      <c r="F7" s="11" t="s">
        <v>3</v>
      </c>
      <c r="G7" s="15">
        <f>IF(C7&gt;DATE(2026,12,31),"",Sources!$B$12+SUMIFS('Cash dates'!$D$2:$D$35,'Cash dates'!$C$2:$C$35,"&lt;="&amp;C7)-SUMIFS('Cash dates'!$E$2:$E$35,'Cash dates'!$C$2:$C$35,"&lt;="&amp;C7))</f>
        <v>52520</v>
      </c>
    </row>
    <row r="8" spans="1:7" ht="21" customHeight="1" x14ac:dyDescent="0.25">
      <c r="A8" s="11" t="s">
        <v>57</v>
      </c>
      <c r="B8" s="14">
        <v>46316</v>
      </c>
      <c r="C8" s="14">
        <f t="shared" si="0"/>
        <v>46316</v>
      </c>
      <c r="D8" s="13">
        <v>22000</v>
      </c>
      <c r="E8" s="13">
        <v>0</v>
      </c>
      <c r="F8" s="11" t="s">
        <v>51</v>
      </c>
      <c r="G8" s="15">
        <f>IF(C8&gt;DATE(2026,12,31),"",Sources!$B$12+SUMIFS('Cash dates'!$D$2:$D$35,'Cash dates'!$C$2:$C$35,"&lt;="&amp;C8)-SUMIFS('Cash dates'!$E$2:$E$35,'Cash dates'!$C$2:$C$35,"&lt;="&amp;C8))</f>
        <v>69520</v>
      </c>
    </row>
    <row r="9" spans="1:7" ht="21" customHeight="1" x14ac:dyDescent="0.25">
      <c r="A9" s="11" t="s">
        <v>58</v>
      </c>
      <c r="B9" s="14">
        <v>46316</v>
      </c>
      <c r="C9" s="14">
        <f t="shared" si="0"/>
        <v>46316</v>
      </c>
      <c r="D9" s="13">
        <v>0</v>
      </c>
      <c r="E9" s="13">
        <v>5000</v>
      </c>
      <c r="F9" s="11" t="s">
        <v>59</v>
      </c>
      <c r="G9" s="15">
        <f>IF(C9&gt;DATE(2026,12,31),"",Sources!$B$12+SUMIFS('Cash dates'!$D$2:$D$35,'Cash dates'!$C$2:$C$35,"&lt;="&amp;C9)-SUMIFS('Cash dates'!$E$2:$E$35,'Cash dates'!$C$2:$C$35,"&lt;="&amp;C9))</f>
        <v>69520</v>
      </c>
    </row>
    <row r="10" spans="1:7" ht="21" customHeight="1" x14ac:dyDescent="0.25">
      <c r="A10" s="11" t="s">
        <v>60</v>
      </c>
      <c r="B10" s="14">
        <v>46323</v>
      </c>
      <c r="C10" s="14">
        <f t="shared" si="0"/>
        <v>46323</v>
      </c>
      <c r="D10" s="13">
        <v>0</v>
      </c>
      <c r="E10" s="13">
        <v>12600</v>
      </c>
      <c r="F10" s="11" t="s">
        <v>61</v>
      </c>
      <c r="G10" s="15">
        <f>IF(C10&gt;DATE(2026,12,31),"",Sources!$B$12+SUMIFS('Cash dates'!$D$2:$D$35,'Cash dates'!$C$2:$C$35,"&lt;="&amp;C10)-SUMIFS('Cash dates'!$E$2:$E$35,'Cash dates'!$C$2:$C$35,"&lt;="&amp;C10))</f>
        <v>32040</v>
      </c>
    </row>
    <row r="11" spans="1:7" ht="21" customHeight="1" x14ac:dyDescent="0.25">
      <c r="A11" s="11" t="s">
        <v>62</v>
      </c>
      <c r="B11" s="14">
        <v>46323</v>
      </c>
      <c r="C11" s="14">
        <f t="shared" si="0"/>
        <v>46323</v>
      </c>
      <c r="D11" s="13">
        <v>0</v>
      </c>
      <c r="E11" s="13">
        <v>2880</v>
      </c>
      <c r="F11" s="11" t="s">
        <v>5</v>
      </c>
      <c r="G11" s="15">
        <f>IF(C11&gt;DATE(2026,12,31),"",Sources!$B$12+SUMIFS('Cash dates'!$D$2:$D$35,'Cash dates'!$C$2:$C$35,"&lt;="&amp;C11)-SUMIFS('Cash dates'!$E$2:$E$35,'Cash dates'!$C$2:$C$35,"&lt;="&amp;C11))</f>
        <v>32040</v>
      </c>
    </row>
    <row r="12" spans="1:7" ht="21" customHeight="1" x14ac:dyDescent="0.25">
      <c r="A12" s="11" t="s">
        <v>63</v>
      </c>
      <c r="B12" s="14">
        <v>46323</v>
      </c>
      <c r="C12" s="14">
        <f t="shared" si="0"/>
        <v>46323</v>
      </c>
      <c r="D12" s="13">
        <v>0</v>
      </c>
      <c r="E12" s="13">
        <v>19000</v>
      </c>
      <c r="F12" s="11" t="s">
        <v>64</v>
      </c>
      <c r="G12" s="15">
        <f>IF(C12&gt;DATE(2026,12,31),"",Sources!$B$12+SUMIFS('Cash dates'!$D$2:$D$35,'Cash dates'!$C$2:$C$35,"&lt;="&amp;C12)-SUMIFS('Cash dates'!$E$2:$E$35,'Cash dates'!$C$2:$C$35,"&lt;="&amp;C12))</f>
        <v>32040</v>
      </c>
    </row>
    <row r="13" spans="1:7" ht="21" customHeight="1" x14ac:dyDescent="0.25">
      <c r="A13" s="11" t="s">
        <v>65</v>
      </c>
      <c r="B13" s="14">
        <v>46323</v>
      </c>
      <c r="C13" s="14">
        <f t="shared" si="0"/>
        <v>46323</v>
      </c>
      <c r="D13" s="13">
        <v>0</v>
      </c>
      <c r="E13" s="13">
        <v>3000</v>
      </c>
      <c r="F13" s="11" t="s">
        <v>19</v>
      </c>
      <c r="G13" s="15">
        <f>IF(C13&gt;DATE(2026,12,31),"",Sources!$B$12+SUMIFS('Cash dates'!$D$2:$D$35,'Cash dates'!$C$2:$C$35,"&lt;="&amp;C13)-SUMIFS('Cash dates'!$E$2:$E$35,'Cash dates'!$C$2:$C$35,"&lt;="&amp;C13))</f>
        <v>32040</v>
      </c>
    </row>
    <row r="14" spans="1:7" ht="21" customHeight="1" x14ac:dyDescent="0.25">
      <c r="A14" s="11" t="s">
        <v>66</v>
      </c>
      <c r="B14" s="14">
        <v>46332</v>
      </c>
      <c r="C14" s="14">
        <f t="shared" si="0"/>
        <v>46332</v>
      </c>
      <c r="D14" s="13">
        <v>0</v>
      </c>
      <c r="E14" s="13">
        <v>13200</v>
      </c>
      <c r="F14" s="11" t="s">
        <v>2</v>
      </c>
      <c r="G14" s="15">
        <f>IF(C14&gt;DATE(2026,12,31),"",Sources!$B$12+SUMIFS('Cash dates'!$D$2:$D$35,'Cash dates'!$C$2:$C$35,"&lt;="&amp;C14)-SUMIFS('Cash dates'!$E$2:$E$35,'Cash dates'!$C$2:$C$35,"&lt;="&amp;C14))</f>
        <v>18840</v>
      </c>
    </row>
    <row r="15" spans="1:7" ht="21" customHeight="1" x14ac:dyDescent="0.25">
      <c r="A15" s="11" t="s">
        <v>67</v>
      </c>
      <c r="B15" s="14">
        <v>46339</v>
      </c>
      <c r="C15" s="14">
        <f t="shared" si="0"/>
        <v>46339</v>
      </c>
      <c r="D15" s="13">
        <v>44000</v>
      </c>
      <c r="E15" s="13">
        <v>0</v>
      </c>
      <c r="F15" s="11" t="s">
        <v>51</v>
      </c>
      <c r="G15" s="15">
        <f>IF(C15&gt;DATE(2026,12,31),"",Sources!$B$12+SUMIFS('Cash dates'!$D$2:$D$35,'Cash dates'!$C$2:$C$35,"&lt;="&amp;C15)-SUMIFS('Cash dates'!$E$2:$E$35,'Cash dates'!$C$2:$C$35,"&lt;="&amp;C15))</f>
        <v>61640</v>
      </c>
    </row>
    <row r="16" spans="1:7" ht="21" customHeight="1" x14ac:dyDescent="0.25">
      <c r="A16" s="11" t="s">
        <v>68</v>
      </c>
      <c r="B16" s="14">
        <v>46339</v>
      </c>
      <c r="C16" s="14">
        <f t="shared" si="0"/>
        <v>46339</v>
      </c>
      <c r="D16" s="13">
        <v>0</v>
      </c>
      <c r="E16" s="13">
        <v>1000</v>
      </c>
      <c r="F16" s="11" t="s">
        <v>53</v>
      </c>
      <c r="G16" s="15">
        <f>IF(C16&gt;DATE(2026,12,31),"",Sources!$B$12+SUMIFS('Cash dates'!$D$2:$D$35,'Cash dates'!$C$2:$C$35,"&lt;="&amp;C16)-SUMIFS('Cash dates'!$E$2:$E$35,'Cash dates'!$C$2:$C$35,"&lt;="&amp;C16))</f>
        <v>61640</v>
      </c>
    </row>
    <row r="17" spans="1:7" ht="21" customHeight="1" x14ac:dyDescent="0.25">
      <c r="A17" s="11" t="s">
        <v>69</v>
      </c>
      <c r="B17" s="14">
        <v>46339</v>
      </c>
      <c r="C17" s="14">
        <f t="shared" si="0"/>
        <v>46339</v>
      </c>
      <c r="D17" s="13">
        <v>0</v>
      </c>
      <c r="E17" s="13">
        <v>200</v>
      </c>
      <c r="F17" s="11" t="s">
        <v>9</v>
      </c>
      <c r="G17" s="15">
        <f>IF(C17&gt;DATE(2026,12,31),"",Sources!$B$12+SUMIFS('Cash dates'!$D$2:$D$35,'Cash dates'!$C$2:$C$35,"&lt;="&amp;C17)-SUMIFS('Cash dates'!$E$2:$E$35,'Cash dates'!$C$2:$C$35,"&lt;="&amp;C17))</f>
        <v>61640</v>
      </c>
    </row>
    <row r="18" spans="1:7" ht="21" customHeight="1" x14ac:dyDescent="0.25">
      <c r="A18" s="11" t="s">
        <v>70</v>
      </c>
      <c r="B18" s="14">
        <v>46346</v>
      </c>
      <c r="C18" s="14">
        <f t="shared" si="0"/>
        <v>46346</v>
      </c>
      <c r="D18" s="13">
        <v>0</v>
      </c>
      <c r="E18" s="13">
        <v>5000</v>
      </c>
      <c r="F18" s="11" t="s">
        <v>59</v>
      </c>
      <c r="G18" s="15">
        <f>IF(C18&gt;DATE(2026,12,31),"",Sources!$B$12+SUMIFS('Cash dates'!$D$2:$D$35,'Cash dates'!$C$2:$C$35,"&lt;="&amp;C18)-SUMIFS('Cash dates'!$E$2:$E$35,'Cash dates'!$C$2:$C$35,"&lt;="&amp;C18))</f>
        <v>71560</v>
      </c>
    </row>
    <row r="19" spans="1:7" ht="21" customHeight="1" x14ac:dyDescent="0.25">
      <c r="A19" s="11" t="s">
        <v>71</v>
      </c>
      <c r="B19" s="14">
        <v>46346</v>
      </c>
      <c r="C19" s="14">
        <f t="shared" si="0"/>
        <v>46346</v>
      </c>
      <c r="D19" s="13">
        <v>22000</v>
      </c>
      <c r="E19" s="13">
        <v>0</v>
      </c>
      <c r="F19" s="11" t="s">
        <v>51</v>
      </c>
      <c r="G19" s="15">
        <f>IF(C19&gt;DATE(2026,12,31),"",Sources!$B$12+SUMIFS('Cash dates'!$D$2:$D$35,'Cash dates'!$C$2:$C$35,"&lt;="&amp;C19)-SUMIFS('Cash dates'!$E$2:$E$35,'Cash dates'!$C$2:$C$35,"&lt;="&amp;C19))</f>
        <v>71560</v>
      </c>
    </row>
    <row r="20" spans="1:7" ht="21" customHeight="1" x14ac:dyDescent="0.25">
      <c r="A20" s="11" t="s">
        <v>72</v>
      </c>
      <c r="B20" s="14">
        <v>46346</v>
      </c>
      <c r="C20" s="14">
        <f t="shared" si="0"/>
        <v>46346</v>
      </c>
      <c r="D20" s="13">
        <v>0</v>
      </c>
      <c r="E20" s="13">
        <v>6600</v>
      </c>
      <c r="F20" s="11" t="s">
        <v>3</v>
      </c>
      <c r="G20" s="15">
        <f>IF(C20&gt;DATE(2026,12,31),"",Sources!$B$12+SUMIFS('Cash dates'!$D$2:$D$35,'Cash dates'!$C$2:$C$35,"&lt;="&amp;C20)-SUMIFS('Cash dates'!$E$2:$E$35,'Cash dates'!$C$2:$C$35,"&lt;="&amp;C20))</f>
        <v>71560</v>
      </c>
    </row>
    <row r="21" spans="1:7" ht="21" customHeight="1" x14ac:dyDescent="0.25">
      <c r="A21" s="11" t="s">
        <v>73</v>
      </c>
      <c r="B21" s="14">
        <v>46346</v>
      </c>
      <c r="C21" s="14">
        <f t="shared" si="0"/>
        <v>46346</v>
      </c>
      <c r="D21" s="13">
        <v>0</v>
      </c>
      <c r="E21" s="13">
        <v>480</v>
      </c>
      <c r="F21" s="11" t="s">
        <v>6</v>
      </c>
      <c r="G21" s="15">
        <f>IF(C21&gt;DATE(2026,12,31),"",Sources!$B$12+SUMIFS('Cash dates'!$D$2:$D$35,'Cash dates'!$C$2:$C$35,"&lt;="&amp;C21)-SUMIFS('Cash dates'!$E$2:$E$35,'Cash dates'!$C$2:$C$35,"&lt;="&amp;C21))</f>
        <v>71560</v>
      </c>
    </row>
    <row r="22" spans="1:7" ht="21" customHeight="1" x14ac:dyDescent="0.25">
      <c r="A22" s="11" t="s">
        <v>74</v>
      </c>
      <c r="B22" s="14">
        <v>46353</v>
      </c>
      <c r="C22" s="14">
        <f t="shared" si="0"/>
        <v>46353</v>
      </c>
      <c r="D22" s="13">
        <v>0</v>
      </c>
      <c r="E22" s="13">
        <v>2880</v>
      </c>
      <c r="F22" s="11" t="s">
        <v>5</v>
      </c>
      <c r="G22" s="15">
        <f>IF(C22&gt;DATE(2026,12,31),"",Sources!$B$12+SUMIFS('Cash dates'!$D$2:$D$35,'Cash dates'!$C$2:$C$35,"&lt;="&amp;C22)-SUMIFS('Cash dates'!$E$2:$E$35,'Cash dates'!$C$2:$C$35,"&lt;="&amp;C22))</f>
        <v>49680</v>
      </c>
    </row>
    <row r="23" spans="1:7" ht="21" customHeight="1" x14ac:dyDescent="0.25">
      <c r="A23" s="11" t="s">
        <v>75</v>
      </c>
      <c r="B23" s="14">
        <v>46353</v>
      </c>
      <c r="C23" s="14">
        <f t="shared" si="0"/>
        <v>46353</v>
      </c>
      <c r="D23" s="13">
        <v>0</v>
      </c>
      <c r="E23" s="13">
        <v>19000</v>
      </c>
      <c r="F23" s="11" t="s">
        <v>64</v>
      </c>
      <c r="G23" s="15">
        <f>IF(C23&gt;DATE(2026,12,31),"",Sources!$B$12+SUMIFS('Cash dates'!$D$2:$D$35,'Cash dates'!$C$2:$C$35,"&lt;="&amp;C23)-SUMIFS('Cash dates'!$E$2:$E$35,'Cash dates'!$C$2:$C$35,"&lt;="&amp;C23))</f>
        <v>49680</v>
      </c>
    </row>
    <row r="24" spans="1:7" ht="21" customHeight="1" x14ac:dyDescent="0.25">
      <c r="A24" s="11" t="s">
        <v>76</v>
      </c>
      <c r="B24" s="14">
        <v>46363</v>
      </c>
      <c r="C24" s="14">
        <f t="shared" si="0"/>
        <v>46363</v>
      </c>
      <c r="D24" s="13">
        <v>0</v>
      </c>
      <c r="E24" s="13">
        <v>13200</v>
      </c>
      <c r="F24" s="11" t="s">
        <v>2</v>
      </c>
      <c r="G24" s="15">
        <f>IF(C24&gt;DATE(2026,12,31),"",Sources!$B$12+SUMIFS('Cash dates'!$D$2:$D$35,'Cash dates'!$C$2:$C$35,"&lt;="&amp;C24)-SUMIFS('Cash dates'!$E$2:$E$35,'Cash dates'!$C$2:$C$35,"&lt;="&amp;C24))</f>
        <v>36480</v>
      </c>
    </row>
    <row r="25" spans="1:7" ht="21" customHeight="1" x14ac:dyDescent="0.25">
      <c r="A25" s="11" t="s">
        <v>77</v>
      </c>
      <c r="B25" s="14">
        <v>46370</v>
      </c>
      <c r="C25" s="14">
        <f t="shared" si="0"/>
        <v>46370</v>
      </c>
      <c r="D25" s="13">
        <v>44000</v>
      </c>
      <c r="E25" s="13">
        <v>0</v>
      </c>
      <c r="F25" s="11" t="s">
        <v>51</v>
      </c>
      <c r="G25" s="15">
        <f>IF(C25&gt;DATE(2026,12,31),"",Sources!$B$12+SUMIFS('Cash dates'!$D$2:$D$35,'Cash dates'!$C$2:$C$35,"&lt;="&amp;C25)-SUMIFS('Cash dates'!$E$2:$E$35,'Cash dates'!$C$2:$C$35,"&lt;="&amp;C25))</f>
        <v>80480</v>
      </c>
    </row>
    <row r="26" spans="1:7" ht="21" customHeight="1" x14ac:dyDescent="0.25">
      <c r="A26" s="11" t="s">
        <v>78</v>
      </c>
      <c r="B26" s="14">
        <v>46371</v>
      </c>
      <c r="C26" s="14">
        <f t="shared" si="0"/>
        <v>46371</v>
      </c>
      <c r="D26" s="13">
        <v>0</v>
      </c>
      <c r="E26" s="13">
        <v>1000</v>
      </c>
      <c r="F26" s="11" t="s">
        <v>53</v>
      </c>
      <c r="G26" s="15">
        <f>IF(C26&gt;DATE(2026,12,31),"",Sources!$B$12+SUMIFS('Cash dates'!$D$2:$D$35,'Cash dates'!$C$2:$C$35,"&lt;="&amp;C26)-SUMIFS('Cash dates'!$E$2:$E$35,'Cash dates'!$C$2:$C$35,"&lt;="&amp;C26))</f>
        <v>79280</v>
      </c>
    </row>
    <row r="27" spans="1:7" ht="21" customHeight="1" x14ac:dyDescent="0.25">
      <c r="A27" s="11" t="s">
        <v>79</v>
      </c>
      <c r="B27" s="14">
        <v>46371</v>
      </c>
      <c r="C27" s="14">
        <f t="shared" si="0"/>
        <v>46371</v>
      </c>
      <c r="D27" s="13">
        <v>0</v>
      </c>
      <c r="E27" s="13">
        <v>200</v>
      </c>
      <c r="F27" s="11" t="s">
        <v>9</v>
      </c>
      <c r="G27" s="15">
        <f>IF(C27&gt;DATE(2026,12,31),"",Sources!$B$12+SUMIFS('Cash dates'!$D$2:$D$35,'Cash dates'!$C$2:$C$35,"&lt;="&amp;C27)-SUMIFS('Cash dates'!$E$2:$E$35,'Cash dates'!$C$2:$C$35,"&lt;="&amp;C27))</f>
        <v>79280</v>
      </c>
    </row>
    <row r="28" spans="1:7" ht="21" customHeight="1" x14ac:dyDescent="0.25">
      <c r="A28" s="11" t="s">
        <v>80</v>
      </c>
      <c r="B28" s="14">
        <v>46374</v>
      </c>
      <c r="C28" s="14">
        <f t="shared" si="0"/>
        <v>46374</v>
      </c>
      <c r="D28" s="13">
        <v>0</v>
      </c>
      <c r="E28" s="13">
        <v>6600</v>
      </c>
      <c r="F28" s="11" t="s">
        <v>3</v>
      </c>
      <c r="G28" s="15">
        <f>IF(C28&gt;DATE(2026,12,31),"",Sources!$B$12+SUMIFS('Cash dates'!$D$2:$D$35,'Cash dates'!$C$2:$C$35,"&lt;="&amp;C28)-SUMIFS('Cash dates'!$E$2:$E$35,'Cash dates'!$C$2:$C$35,"&lt;="&amp;C28))</f>
        <v>72200</v>
      </c>
    </row>
    <row r="29" spans="1:7" ht="21" customHeight="1" x14ac:dyDescent="0.25">
      <c r="A29" s="11" t="s">
        <v>81</v>
      </c>
      <c r="B29" s="14">
        <v>46374</v>
      </c>
      <c r="C29" s="14">
        <f t="shared" si="0"/>
        <v>46374</v>
      </c>
      <c r="D29" s="13">
        <v>0</v>
      </c>
      <c r="E29" s="13">
        <v>480</v>
      </c>
      <c r="F29" s="11" t="s">
        <v>6</v>
      </c>
      <c r="G29" s="15">
        <f>IF(C29&gt;DATE(2026,12,31),"",Sources!$B$12+SUMIFS('Cash dates'!$D$2:$D$35,'Cash dates'!$C$2:$C$35,"&lt;="&amp;C29)-SUMIFS('Cash dates'!$E$2:$E$35,'Cash dates'!$C$2:$C$35,"&lt;="&amp;C29))</f>
        <v>72200</v>
      </c>
    </row>
    <row r="30" spans="1:7" ht="21" customHeight="1" x14ac:dyDescent="0.25">
      <c r="A30" s="11" t="s">
        <v>82</v>
      </c>
      <c r="B30" s="14">
        <v>46377</v>
      </c>
      <c r="C30" s="14">
        <f t="shared" si="0"/>
        <v>46377</v>
      </c>
      <c r="D30" s="13">
        <v>22000</v>
      </c>
      <c r="E30" s="13">
        <v>0</v>
      </c>
      <c r="F30" s="11" t="s">
        <v>51</v>
      </c>
      <c r="G30" s="15">
        <f>IF(C30&gt;DATE(2026,12,31),"",Sources!$B$12+SUMIFS('Cash dates'!$D$2:$D$35,'Cash dates'!$C$2:$C$35,"&lt;="&amp;C30)-SUMIFS('Cash dates'!$E$2:$E$35,'Cash dates'!$C$2:$C$35,"&lt;="&amp;C30))</f>
        <v>89200</v>
      </c>
    </row>
    <row r="31" spans="1:7" ht="21" customHeight="1" x14ac:dyDescent="0.25">
      <c r="A31" s="11" t="s">
        <v>83</v>
      </c>
      <c r="B31" s="14">
        <v>46377</v>
      </c>
      <c r="C31" s="14">
        <f t="shared" si="0"/>
        <v>46377</v>
      </c>
      <c r="D31" s="13">
        <v>0</v>
      </c>
      <c r="E31" s="13">
        <v>5000</v>
      </c>
      <c r="F31" s="11" t="s">
        <v>59</v>
      </c>
      <c r="G31" s="15">
        <f>IF(C31&gt;DATE(2026,12,31),"",Sources!$B$12+SUMIFS('Cash dates'!$D$2:$D$35,'Cash dates'!$C$2:$C$35,"&lt;="&amp;C31)-SUMIFS('Cash dates'!$E$2:$E$35,'Cash dates'!$C$2:$C$35,"&lt;="&amp;C31))</f>
        <v>89200</v>
      </c>
    </row>
    <row r="32" spans="1:7" ht="21" customHeight="1" x14ac:dyDescent="0.25">
      <c r="A32" s="11" t="s">
        <v>84</v>
      </c>
      <c r="B32" s="14">
        <v>46380</v>
      </c>
      <c r="C32" s="14">
        <f t="shared" si="0"/>
        <v>46380</v>
      </c>
      <c r="D32" s="13">
        <v>0</v>
      </c>
      <c r="E32" s="13">
        <v>19000</v>
      </c>
      <c r="F32" s="11" t="s">
        <v>64</v>
      </c>
      <c r="G32" s="15">
        <f>IF(C32&gt;DATE(2026,12,31),"",Sources!$B$12+SUMIFS('Cash dates'!$D$2:$D$35,'Cash dates'!$C$2:$C$35,"&lt;="&amp;C32)-SUMIFS('Cash dates'!$E$2:$E$35,'Cash dates'!$C$2:$C$35,"&lt;="&amp;C32))</f>
        <v>67320</v>
      </c>
    </row>
    <row r="33" spans="1:7" ht="21" customHeight="1" x14ac:dyDescent="0.25">
      <c r="A33" s="11" t="s">
        <v>85</v>
      </c>
      <c r="B33" s="14">
        <v>46380</v>
      </c>
      <c r="C33" s="14">
        <f t="shared" si="0"/>
        <v>46380</v>
      </c>
      <c r="D33" s="13">
        <v>0</v>
      </c>
      <c r="E33" s="13">
        <v>2880</v>
      </c>
      <c r="F33" s="11" t="s">
        <v>5</v>
      </c>
      <c r="G33" s="15">
        <f>IF(C33&gt;DATE(2026,12,31),"",Sources!$B$12+SUMIFS('Cash dates'!$D$2:$D$35,'Cash dates'!$C$2:$C$35,"&lt;="&amp;C33)-SUMIFS('Cash dates'!$E$2:$E$35,'Cash dates'!$C$2:$C$35,"&lt;="&amp;C33))</f>
        <v>67320</v>
      </c>
    </row>
    <row r="34" spans="1:7" ht="21" customHeight="1" x14ac:dyDescent="0.25">
      <c r="A34" s="11" t="s">
        <v>86</v>
      </c>
      <c r="B34" s="14">
        <v>46401</v>
      </c>
      <c r="C34" s="14">
        <f t="shared" si="0"/>
        <v>46401</v>
      </c>
      <c r="D34" s="13">
        <v>44000</v>
      </c>
      <c r="E34" s="13">
        <v>0</v>
      </c>
      <c r="F34" s="11" t="s">
        <v>51</v>
      </c>
      <c r="G34" s="15" t="str">
        <f>IF(C34&gt;DATE(2026,12,31),"",Sources!$B$12+SUMIFS('Cash dates'!$D$2:$D$35,'Cash dates'!$C$2:$C$35,"&lt;="&amp;C34)-SUMIFS('Cash dates'!$E$2:$E$35,'Cash dates'!$C$2:$C$35,"&lt;="&amp;C34))</f>
        <v/>
      </c>
    </row>
    <row r="35" spans="1:7" ht="21" customHeight="1" x14ac:dyDescent="0.25">
      <c r="A35" s="11" t="s">
        <v>87</v>
      </c>
      <c r="B35" s="14">
        <v>46408</v>
      </c>
      <c r="C35" s="14">
        <f t="shared" si="0"/>
        <v>46408</v>
      </c>
      <c r="D35" s="13">
        <v>22000</v>
      </c>
      <c r="E35" s="13">
        <v>0</v>
      </c>
      <c r="F35" s="11" t="s">
        <v>51</v>
      </c>
      <c r="G35" s="15" t="str">
        <f>IF(C35&gt;DATE(2026,12,31),"",Sources!$B$12+SUMIFS('Cash dates'!$D$2:$D$35,'Cash dates'!$C$2:$C$35,"&lt;="&amp;C35)-SUMIFS('Cash dates'!$E$2:$E$35,'Cash dates'!$C$2:$C$35,"&lt;="&amp;C35))</f>
        <v/>
      </c>
    </row>
  </sheetData>
  <autoFilter ref="A1:G35" xr:uid="{00000000-0009-0000-0000-000003000000}"/>
  <pageMargins left="0.75" right="0.75" top="1" bottom="1" header="0.5" footer="0.5"/>
  <pageSetup paperSize="9"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C22"/>
  <sheetViews>
    <sheetView showGridLines="0" zoomScale="90" zoomScaleNormal="90" workbookViewId="0">
      <pane xSplit="1" ySplit="1" topLeftCell="B2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1" width="34" customWidth="1"/>
    <col min="2" max="2" width="20" customWidth="1"/>
    <col min="3" max="3" width="66" customWidth="1"/>
  </cols>
  <sheetData>
    <row r="1" spans="1:3" ht="33.950000000000003" customHeight="1" x14ac:dyDescent="0.25">
      <c r="A1" s="1" t="s">
        <v>88</v>
      </c>
      <c r="B1" s="1" t="s">
        <v>37</v>
      </c>
      <c r="C1" s="1" t="s">
        <v>89</v>
      </c>
    </row>
    <row r="2" spans="1:3" ht="21" customHeight="1" x14ac:dyDescent="0.25">
      <c r="A2" s="11" t="s">
        <v>90</v>
      </c>
      <c r="B2" s="13">
        <v>40000</v>
      </c>
      <c r="C2" s="11" t="s">
        <v>91</v>
      </c>
    </row>
    <row r="3" spans="1:3" ht="21" customHeight="1" x14ac:dyDescent="0.25">
      <c r="A3" s="11" t="s">
        <v>92</v>
      </c>
      <c r="B3" s="13">
        <v>20000</v>
      </c>
      <c r="C3" s="11" t="s">
        <v>91</v>
      </c>
    </row>
    <row r="4" spans="1:3" ht="21" customHeight="1" x14ac:dyDescent="0.25">
      <c r="A4" s="11" t="s">
        <v>2</v>
      </c>
      <c r="B4" s="13">
        <v>-12000</v>
      </c>
      <c r="C4" s="11" t="s">
        <v>91</v>
      </c>
    </row>
    <row r="5" spans="1:3" ht="21" customHeight="1" x14ac:dyDescent="0.25">
      <c r="A5" s="11" t="s">
        <v>93</v>
      </c>
      <c r="B5" s="13">
        <v>-6000</v>
      </c>
      <c r="C5" s="11" t="s">
        <v>91</v>
      </c>
    </row>
    <row r="6" spans="1:3" ht="21" customHeight="1" x14ac:dyDescent="0.25">
      <c r="A6" s="11" t="s">
        <v>94</v>
      </c>
      <c r="B6" s="13">
        <v>-24000</v>
      </c>
      <c r="C6" s="11" t="s">
        <v>91</v>
      </c>
    </row>
    <row r="7" spans="1:3" ht="21" customHeight="1" x14ac:dyDescent="0.25">
      <c r="A7" s="11" t="s">
        <v>95</v>
      </c>
      <c r="B7" s="13">
        <v>-2880</v>
      </c>
      <c r="C7" s="11" t="s">
        <v>91</v>
      </c>
    </row>
    <row r="8" spans="1:3" ht="21" customHeight="1" x14ac:dyDescent="0.25">
      <c r="A8" s="11" t="s">
        <v>96</v>
      </c>
      <c r="B8" s="13">
        <v>-480</v>
      </c>
      <c r="C8" s="11" t="s">
        <v>91</v>
      </c>
    </row>
    <row r="9" spans="1:3" ht="21" customHeight="1" x14ac:dyDescent="0.25">
      <c r="A9" s="11" t="s">
        <v>97</v>
      </c>
      <c r="B9" s="13">
        <v>-2254.15</v>
      </c>
      <c r="C9" s="11" t="s">
        <v>91</v>
      </c>
    </row>
    <row r="10" spans="1:3" ht="21" customHeight="1" x14ac:dyDescent="0.25">
      <c r="A10" s="11" t="s">
        <v>8</v>
      </c>
      <c r="B10" s="13">
        <v>-200</v>
      </c>
      <c r="C10" s="11" t="s">
        <v>91</v>
      </c>
    </row>
    <row r="11" spans="1:3" ht="21" customHeight="1" x14ac:dyDescent="0.25">
      <c r="A11" s="11" t="s">
        <v>98</v>
      </c>
      <c r="B11" s="13">
        <v>-200</v>
      </c>
      <c r="C11" s="11" t="s">
        <v>91</v>
      </c>
    </row>
    <row r="12" spans="1:3" ht="21" customHeight="1" x14ac:dyDescent="0.25">
      <c r="A12" s="11" t="s">
        <v>99</v>
      </c>
      <c r="B12" s="13">
        <v>30000</v>
      </c>
      <c r="C12" s="11" t="s">
        <v>100</v>
      </c>
    </row>
    <row r="13" spans="1:3" ht="21" customHeight="1" x14ac:dyDescent="0.25">
      <c r="A13" s="11" t="s">
        <v>101</v>
      </c>
      <c r="B13" s="13">
        <v>66000</v>
      </c>
      <c r="C13" s="11" t="s">
        <v>100</v>
      </c>
    </row>
    <row r="14" spans="1:3" ht="21" customHeight="1" x14ac:dyDescent="0.25">
      <c r="A14" s="11" t="s">
        <v>102</v>
      </c>
      <c r="B14" s="13">
        <v>12000</v>
      </c>
      <c r="C14" s="11" t="s">
        <v>100</v>
      </c>
    </row>
    <row r="15" spans="1:3" ht="21" customHeight="1" x14ac:dyDescent="0.25">
      <c r="A15" s="11" t="s">
        <v>103</v>
      </c>
      <c r="B15" s="13">
        <v>-13200</v>
      </c>
      <c r="C15" s="11" t="s">
        <v>100</v>
      </c>
    </row>
    <row r="16" spans="1:3" ht="21" customHeight="1" x14ac:dyDescent="0.25">
      <c r="A16" s="11" t="s">
        <v>104</v>
      </c>
      <c r="B16" s="13">
        <v>-12600</v>
      </c>
      <c r="C16" s="11" t="s">
        <v>100</v>
      </c>
    </row>
    <row r="17" spans="1:3" ht="21" customHeight="1" x14ac:dyDescent="0.25">
      <c r="A17" s="11" t="s">
        <v>105</v>
      </c>
      <c r="B17" s="13">
        <v>-5000</v>
      </c>
      <c r="C17" s="11" t="s">
        <v>100</v>
      </c>
    </row>
    <row r="18" spans="1:3" ht="21" customHeight="1" x14ac:dyDescent="0.25">
      <c r="A18" s="11" t="s">
        <v>106</v>
      </c>
      <c r="B18" s="13">
        <v>-20000</v>
      </c>
      <c r="C18" s="11" t="s">
        <v>100</v>
      </c>
    </row>
    <row r="19" spans="1:3" ht="21" customHeight="1" x14ac:dyDescent="0.25">
      <c r="A19" s="11" t="s">
        <v>107</v>
      </c>
      <c r="B19" s="13">
        <v>-57200</v>
      </c>
      <c r="C19" s="11" t="s">
        <v>100</v>
      </c>
    </row>
    <row r="20" spans="1:3" ht="21" customHeight="1" x14ac:dyDescent="0.25">
      <c r="A20" s="11" t="s">
        <v>108</v>
      </c>
      <c r="B20" s="16">
        <v>0.1</v>
      </c>
      <c r="C20" s="11" t="s">
        <v>109</v>
      </c>
    </row>
    <row r="21" spans="1:3" ht="21" customHeight="1" x14ac:dyDescent="0.25">
      <c r="A21" s="11" t="s">
        <v>110</v>
      </c>
      <c r="B21" s="13">
        <v>1000</v>
      </c>
      <c r="C21" s="11" t="s">
        <v>111</v>
      </c>
    </row>
    <row r="22" spans="1:3" ht="21" customHeight="1" x14ac:dyDescent="0.25">
      <c r="A22" s="11" t="s">
        <v>112</v>
      </c>
      <c r="B22" s="13">
        <v>3000</v>
      </c>
      <c r="C22" s="11" t="s">
        <v>113</v>
      </c>
    </row>
  </sheetData>
  <pageMargins left="0.75" right="0.75" top="1" bottom="1" header="0.5" footer="0.5"/>
  <pageSetup paperSize="9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3</vt:i4>
      </vt:variant>
    </vt:vector>
  </HeadingPairs>
  <TitlesOfParts>
    <vt:vector size="8" baseType="lpstr">
      <vt:lpstr>Model</vt:lpstr>
      <vt:lpstr>Cash 13 weeks</vt:lpstr>
      <vt:lpstr>Assumptions</vt:lpstr>
      <vt:lpstr>Cash dates</vt:lpstr>
      <vt:lpstr>Sources</vt:lpstr>
      <vt:lpstr>'Cash 13 weeks'!Print_Area</vt:lpstr>
      <vt:lpstr>Model!Print_Area</vt:lpstr>
      <vt:lpstr>receipt_delay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Ryan Duguid</cp:lastModifiedBy>
  <dcterms:created xsi:type="dcterms:W3CDTF">2026-09-10T13:06:00Z</dcterms:created>
  <dcterms:modified xsi:type="dcterms:W3CDTF">2026-09-10T13:06:03Z</dcterms:modified>
</cp:coreProperties>
</file>